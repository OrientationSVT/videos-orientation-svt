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ucas\Documents\Orientation SVT\"/>
    </mc:Choice>
  </mc:AlternateContent>
  <xr:revisionPtr revIDLastSave="0" documentId="13_ncr:1_{853EF474-4658-47A7-8A65-B17A9D77F39A}" xr6:coauthVersionLast="47" xr6:coauthVersionMax="47" xr10:uidLastSave="{00000000-0000-0000-0000-000000000000}"/>
  <bookViews>
    <workbookView xWindow="-108" yWindow="-108" windowWidth="23256" windowHeight="12456" firstSheet="1" activeTab="2" xr2:uid="{00000000-000D-0000-FFFF-FFFF00000000}"/>
  </bookViews>
  <sheets>
    <sheet name="Sommaire" sheetId="1" r:id="rId1"/>
    <sheet name="Mode d'emploi" sheetId="2" r:id="rId2"/>
    <sheet name="Présentations métiers" sheetId="3" r:id="rId3"/>
    <sheet name="Regroupements" sheetId="4" r:id="rId4"/>
  </sheets>
  <definedNames>
    <definedName name="DébutSemaine" localSheetId="2">'Présentations métiers'!$G$2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4" i="3" l="1"/>
  <c r="E394" i="3"/>
  <c r="I67" i="3"/>
  <c r="E67" i="3"/>
  <c r="I391" i="3"/>
  <c r="E391" i="3"/>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I374" i="3"/>
  <c r="E374" i="3"/>
  <c r="I279" i="3"/>
  <c r="F279" i="3"/>
  <c r="E279" i="3"/>
  <c r="I371" i="3"/>
  <c r="F371" i="3"/>
  <c r="E371" i="3"/>
  <c r="I368" i="3"/>
  <c r="E368" i="3"/>
  <c r="I100" i="3"/>
  <c r="E100" i="3"/>
  <c r="I365" i="3"/>
  <c r="E365" i="3"/>
  <c r="I133" i="3"/>
  <c r="F133" i="3"/>
  <c r="E133" i="3"/>
  <c r="I364" i="3"/>
  <c r="E364" i="3"/>
  <c r="I132" i="3"/>
  <c r="F132" i="3"/>
  <c r="E132" i="3"/>
  <c r="F388" i="3"/>
  <c r="I224" i="3"/>
  <c r="F224" i="3"/>
  <c r="E224" i="3"/>
  <c r="I397" i="3"/>
  <c r="E397" i="3"/>
  <c r="I379" i="3"/>
  <c r="E379" i="3"/>
  <c r="I378" i="3"/>
  <c r="E378" i="3"/>
  <c r="I362" i="3"/>
  <c r="I363" i="3" s="1"/>
  <c r="E362" i="3"/>
  <c r="E363" i="3" s="1"/>
  <c r="F387" i="3"/>
  <c r="I377" i="3"/>
  <c r="E377" i="3"/>
  <c r="I361" i="3"/>
  <c r="E361" i="3"/>
  <c r="I360" i="3"/>
  <c r="E360" i="3"/>
  <c r="I359" i="3"/>
  <c r="E359" i="3"/>
  <c r="I358" i="3"/>
  <c r="E358" i="3"/>
  <c r="I357" i="3"/>
  <c r="E357" i="3"/>
</calcChain>
</file>

<file path=xl/sharedStrings.xml><?xml version="1.0" encoding="utf-8"?>
<sst xmlns="http://schemas.openxmlformats.org/spreadsheetml/2006/main" count="2093" uniqueCount="749">
  <si>
    <t>← Retour au Sommaire</t>
  </si>
  <si>
    <t>Vidéos d'orientation — Exemples de métiers</t>
  </si>
  <si>
    <t>Métier</t>
  </si>
  <si>
    <t>Vidéo 1</t>
  </si>
  <si>
    <t>Vidéo 2</t>
  </si>
  <si>
    <t>Spécialités (1ère &amp; Tle)</t>
  </si>
  <si>
    <t>Options recommandées</t>
  </si>
  <si>
    <t>Description du métier</t>
  </si>
  <si>
    <t>Agroalimentaire</t>
  </si>
  <si>
    <t>SVT + Physique-Chimie ou SVT + Maths</t>
  </si>
  <si>
    <t>Maths compl. (option Tle) si Maths non conservée</t>
  </si>
  <si>
    <t>Prépa BCPST, écoles d'ingénieurs agro, licences</t>
  </si>
  <si>
    <t>Responsable planification ordonnancement</t>
  </si>
  <si>
    <t>▶ Vidéo</t>
  </si>
  <si>
    <t>Coordonner, rythmer et optimiser le calendrier de production d'une entreprise agroalimentaire</t>
  </si>
  <si>
    <t>Responsable qualité junior</t>
  </si>
  <si>
    <t>Contrôle la conformité des produits alimentaires aux normes sanitaires.</t>
  </si>
  <si>
    <t>Animateur Terra Vitis</t>
  </si>
  <si>
    <t>Conseiller et accompagner les viticulteurs dans leur transition écologique</t>
  </si>
  <si>
    <t>Attachée de développement agronomique et marketing</t>
  </si>
  <si>
    <t>Accompagner et auditer les exploitants dans leur gestion technique, économique et environnementale</t>
  </si>
  <si>
    <t>Ingénieure production conditionnement</t>
  </si>
  <si>
    <t>Piloter le développement, la stratégie marketing et la commercialisation d'un produit agroalimentaire</t>
  </si>
  <si>
    <t>Cheffe de produit Diagorisk - Gestion risques</t>
  </si>
  <si>
    <t>Coordination globale dans l'entreprise pour le produit et gestion des risques</t>
  </si>
  <si>
    <t>Marketing scientifique - Cheffe de projet conception &amp; cheffe de produits extraits</t>
  </si>
  <si>
    <t>Développe des produits à base d'extraits naturels entre science, réglementation et marché.</t>
  </si>
  <si>
    <t>Agronomie</t>
  </si>
  <si>
    <t>Prépa BCPST → écoles d'agronomie</t>
  </si>
  <si>
    <t>Paysanne installée en exploitation agricole</t>
  </si>
  <si>
    <t>Gère une exploitation agricole en combinant production, vente directe et pratiques durables.</t>
  </si>
  <si>
    <t>Eleveur caprin</t>
  </si>
  <si>
    <t>Élève des chèvres pour la production laitière ou fromagère.</t>
  </si>
  <si>
    <t>Algoculteur</t>
  </si>
  <si>
    <t>Cultive des algues à des fins alimentaires, cosmétiques ou énergétiques.</t>
  </si>
  <si>
    <t>Arboriculteur</t>
  </si>
  <si>
    <t>Cultive des arbres fruitiers en gérant la taille, la protection et la récolte.</t>
  </si>
  <si>
    <t>Consultante nutrition et robots en élevages laitiers</t>
  </si>
  <si>
    <t>Conseille les éleveurs sur l'alimentation des vaches/chèvres et l'automatisation des étables.</t>
  </si>
  <si>
    <t>Ingénieure conseil en viticulture</t>
  </si>
  <si>
    <t>Accompagne les vignerons dans la gestion technique de leurs vignes.</t>
  </si>
  <si>
    <t>Responsable de site pour des vignerons</t>
  </si>
  <si>
    <t>Coordonne les activités d'un domaine viticole, de la culture à la commercialisation.</t>
  </si>
  <si>
    <t>Chargé de mission projets agricoles durables</t>
  </si>
  <si>
    <t>Développe et suit des projets d'agriculture durable pour des collectivités.</t>
  </si>
  <si>
    <t>Chargée d'étude sur les nouvelles techniques d'améliorations de plantes</t>
  </si>
  <si>
    <t>Évalue les nouvelles méthodes d'amélioration et de sélection végétale.</t>
  </si>
  <si>
    <t>Chef de projet au laboratoire de pathologie</t>
  </si>
  <si>
    <t>Coordonne différents projets notamment à travers des analyses sur les maladies des plantes cultivées.</t>
  </si>
  <si>
    <t>Responsable nationale des études VATE</t>
  </si>
  <si>
    <t>Pilote les études d'évaluation des nouvelles variétés végétales.</t>
  </si>
  <si>
    <t>Analyste en biologie moléculaire</t>
  </si>
  <si>
    <t>Réalise des analyses génétiques sur des organismes végétaux ou animaux.</t>
  </si>
  <si>
    <t>Semencier</t>
  </si>
  <si>
    <t>Produit et commercialise des semences sélectionnées pour les agriculteurs.</t>
  </si>
  <si>
    <t>Chef de produit semence</t>
  </si>
  <si>
    <t>Développe et gère une gamme de semences en lien avec le marché agricole.</t>
  </si>
  <si>
    <t>Responsable d'équipe au laboratoire de germination</t>
  </si>
  <si>
    <t>Encadrement d'équipe et analyses de germination d'espèces utiles</t>
  </si>
  <si>
    <t>Homologation d'essais VATE</t>
  </si>
  <si>
    <t>Avis agronomique et évaluation des variétés auprès des prestataires.</t>
  </si>
  <si>
    <t>Chargée de projet sur biocontrôle et biostimulation</t>
  </si>
  <si>
    <t>Pilote des projets en biocontrôle et biostimulation des semences</t>
  </si>
  <si>
    <t>Analyste laboratoire dans la production de semences</t>
  </si>
  <si>
    <t>Effectue des contrôles qualité sur les lots de semences en production.</t>
  </si>
  <si>
    <t>Biostatisticien</t>
  </si>
  <si>
    <t>Analyse les données d'essais agronomiques à l'aide de méthodes statistiques.</t>
  </si>
  <si>
    <t>Technicienne en expérimentations végétales</t>
  </si>
  <si>
    <t>Expertiser des nouvelles variétés</t>
  </si>
  <si>
    <t>Entomologiste au Cirad</t>
  </si>
  <si>
    <t>Étudie les insectes nuisibles ou bénéfiques dans les agrosystèmes tropicaux</t>
  </si>
  <si>
    <t>Coordinateur des activités de phénotypage numérique</t>
  </si>
  <si>
    <t>Développement de nouvelles technologies numériques pour réaliser des analyses de qualité des semences ou variétés</t>
  </si>
  <si>
    <t>Responsable DHS</t>
  </si>
  <si>
    <t>Gère les critères de distinction, homogénéité et stabilité des variétés végétales.</t>
  </si>
  <si>
    <t>Directeur d'Unité et Responsable VATE Plantes fourragères et Plantes de services</t>
  </si>
  <si>
    <t>Dirige une unité de recherche sur l'évaluation des plantes fourragères à l'interface avec la commercialisation</t>
  </si>
  <si>
    <t>Animatrice de la coordination nationale de la conservation des RPG</t>
  </si>
  <si>
    <t>Coordonne la conservation des ressources phytogénétiques agricoles nationales.</t>
  </si>
  <si>
    <t>Responsable Animation et Expertise DHS</t>
  </si>
  <si>
    <t>Forme et coordonne les experts en charge des critères d'inscription variétale.</t>
  </si>
  <si>
    <t>Secrétaire technique et Responsable DHS maïs et sorgho</t>
  </si>
  <si>
    <t>Conduire les examens d'étude des variétés de maïs et sorgho.</t>
  </si>
  <si>
    <t>Secrétaire Technique Arbres Fruitiers</t>
  </si>
  <si>
    <t>Centraliser toutes les demandes de coopération à l'international et rendre possible une réponse</t>
  </si>
  <si>
    <t>Responsable Dénominations variétales</t>
  </si>
  <si>
    <t>Analyser les noms officiels des nouvelles variétés végétales.</t>
  </si>
  <si>
    <t>Biochimie</t>
  </si>
  <si>
    <t>Licences bio-chimie, PASS, prépa BCPST</t>
  </si>
  <si>
    <t>Ingénieur recherche</t>
  </si>
  <si>
    <t>Conçoit et mène des expériences pour développer de nouveaux produits ou comprendre des mécanismes biologiques.</t>
  </si>
  <si>
    <t>Ingénieur d'étude</t>
  </si>
  <si>
    <t>Réalise des études techniques et analyses dans un laboratoire de recherche ou industriel.</t>
  </si>
  <si>
    <t>Technicien·ne supérieur·e de laboratoire</t>
  </si>
  <si>
    <t>Réalise des analyses biologiques ou chimiques en laboratoire selon des protocoles précis.</t>
  </si>
  <si>
    <t>Chercheur biochimiste</t>
  </si>
  <si>
    <t>Étudie les réactions chimiques dans les organismes vivants pour comprendre les maladies ou comprendre la fonction d'une molécule</t>
  </si>
  <si>
    <t>Biodiversité</t>
  </si>
  <si>
    <t>SVT + HGGSP ou SVT + Physique-Chimie</t>
  </si>
  <si>
    <t>Licences écologie/biologie (plusieurs combinaisons possibles)</t>
  </si>
  <si>
    <t>Chef de projet biodiversité</t>
  </si>
  <si>
    <t>Pilote des programmes de préservation des espèces et des écosystèmes.</t>
  </si>
  <si>
    <t>Délégué à la COP15 Biodiversité</t>
  </si>
  <si>
    <t>Représente une organisation dans les négociations internationales sur la biodiversité.</t>
  </si>
  <si>
    <t>Systématicien et zoologiste</t>
  </si>
  <si>
    <t>Identifie, classe et décrit les espèces animales // étudie les espèces animales</t>
  </si>
  <si>
    <t>Biologiste de la conservation et de la gestion de la faune</t>
  </si>
  <si>
    <t>Étudie les populations animales sauvages pour proposer des mesures de protection.</t>
  </si>
  <si>
    <t>Technicienne de recherche</t>
  </si>
  <si>
    <t>Assiste les chercheurs dans la collecte et l'analyse de données biologiques.</t>
  </si>
  <si>
    <t>Chef de projet en biodiversité marine</t>
  </si>
  <si>
    <t>Coordonne des programmes d'étude et de protection des espèces marines.</t>
  </si>
  <si>
    <t>Chargé de mission forêt &amp; biodiversité</t>
  </si>
  <si>
    <t>Développe des actions de préservation de la biodiversité forestière.</t>
  </si>
  <si>
    <t>Chargée de missions de recherche OFB</t>
  </si>
  <si>
    <t>Mène des études sur l'état des milieux naturels pour l'Office Français de la Biodiversité.</t>
  </si>
  <si>
    <t>Chargée de recherche  OFB</t>
  </si>
  <si>
    <t>Conduit des recherches appliquées sur les écosystèmes pour guider les politiques de conservation.</t>
  </si>
  <si>
    <t>Conservateur de réserve naturelle  OFB</t>
  </si>
  <si>
    <t>Gère et protège un espace naturel classé en coordonnant les suivis scientifiques.</t>
  </si>
  <si>
    <t>Direction et coordination de l'appui aux stratégies pour la biodiversité  OFB</t>
  </si>
  <si>
    <t>Pilote les programmes nationaux de soutien aux politiques de préservation.</t>
  </si>
  <si>
    <t>Chef d'unité à l'OFB - milieu lacustre</t>
  </si>
  <si>
    <t>Dirige une équipe chargée de la surveillance des écosystèmes lacustres.</t>
  </si>
  <si>
    <t>Référent police contrôle environnement -OFB</t>
  </si>
  <si>
    <t>Coordonne les enquêtes sur les infractions environnementales.</t>
  </si>
  <si>
    <t>Inspecteur de l'environnement - OFB</t>
  </si>
  <si>
    <t>Surveille et sanctionne les atteintes aux milieux naturels et à la faune sauvage.</t>
  </si>
  <si>
    <t>Chargée de missions pêche - OFB</t>
  </si>
  <si>
    <t>Gère et surveille les populations halieutiques, piscicoles et les pratiques de pêche.</t>
  </si>
  <si>
    <t>Bioinformatique</t>
  </si>
  <si>
    <t>SVT + Maths ou SVT + NSI</t>
  </si>
  <si>
    <t>Maths conservée en Tle conseillée — sinon Maths compl. (option)</t>
  </si>
  <si>
    <t>Licences info/bio, masters bioinformatique</t>
  </si>
  <si>
    <t>Biologiste computationnel.le</t>
  </si>
  <si>
    <t>Analyse de grandes bases de données biologiques et/ou médicales à l'aide d'algorithmes.</t>
  </si>
  <si>
    <t>Bioinformaticien en génétique moléculaire</t>
  </si>
  <si>
    <t>Agréger l'ensemble des données produites par les analyses génétiques et les rendre accessibles aux biologistes</t>
  </si>
  <si>
    <t>Bioinformaticienne marine</t>
  </si>
  <si>
    <t>Accompagner les chercheurs en biologie moléculaire dans l'analyse de leurs données (comme la prédiction de gènes ou l'identification d'espèces marines)</t>
  </si>
  <si>
    <t>Bioinformaticien en milieu hospitalier</t>
  </si>
  <si>
    <t>Partir de données génomiques pour reconstruire des ADN complets d'agents pathogènes ou de patients.</t>
  </si>
  <si>
    <t>Biologie cellulaire</t>
  </si>
  <si>
    <t>Licences bio, PASS, prépa BCPST</t>
  </si>
  <si>
    <t>Géomicrobiologie</t>
  </si>
  <si>
    <t>Étudie les interactions entre les micro-organismes et leur environnement.</t>
  </si>
  <si>
    <t>Microbiologiste à l'hôpital</t>
  </si>
  <si>
    <t>Analyse les prélèvements des patients pour identifier les agents infectieux.</t>
  </si>
  <si>
    <t>Microbiologiste</t>
  </si>
  <si>
    <t>Développer des procédés de fermentation microbienne pour cultiver des bactéries à grande échelle ou produire des molécules thérapeutiques ou des outils de diagnostic,</t>
  </si>
  <si>
    <t>Chercheuse en microbiologie</t>
  </si>
  <si>
    <t>Mène des recherches sur les micro-organismes.</t>
  </si>
  <si>
    <t>Chargé de recherche CNRS à l'iBV (CNRS-INSERM_UCA)</t>
  </si>
  <si>
    <t>Conduit des recherches fondamentales sur le développement et la biologie cellulaire.</t>
  </si>
  <si>
    <t>Technicienne en contrôle qualité</t>
  </si>
  <si>
    <t>Vérifie la conformité des produits biologiques ou pharmaceutiques.</t>
  </si>
  <si>
    <t>Biologie moléculaire</t>
  </si>
  <si>
    <t>Epidémiologiste moléculaire</t>
  </si>
  <si>
    <t>Etudie les épidémies en combinant l'épidémiologie spatiale et l'analyse génétique des virus pour comprendre leur dynamique de propagation et leur évolution</t>
  </si>
  <si>
    <t>Biologiste moléculaire</t>
  </si>
  <si>
    <t>Étudie les mécanismes de l'ADN, de l'ARN et des protéines à l'échelle moléculaire pour par exemple identifier des anomalies au niveau de l'ADN chez les patients afin de poser un diagnostic pour expliquer une maladie génétique</t>
  </si>
  <si>
    <t>Biologie végétale</t>
  </si>
  <si>
    <t>Licence bio, prépa BCPST, écoles agro</t>
  </si>
  <si>
    <t>Ethnobotaniste</t>
  </si>
  <si>
    <t>Étudie les relations entre les plantes utiles et les populations humaines</t>
  </si>
  <si>
    <t>Biotechnologies</t>
  </si>
  <si>
    <t>Prépa BCPST, licences bio, écoles d'ingénieurs</t>
  </si>
  <si>
    <t>Ingénieur technico-commercial</t>
  </si>
  <si>
    <t>Définit les besoins des clients, gère le processus de vente, puis accompagne l'installation des projets et la formation aux produits</t>
  </si>
  <si>
    <t>Responsable contrôle qualité en impression biologique</t>
  </si>
  <si>
    <t>Supervise la qualité des bioimprimantes et des tissus biologiques produits.</t>
  </si>
  <si>
    <t>Ingénieur responsable production tissus vivants</t>
  </si>
  <si>
    <t>Pilote la fabrication de tissus cellulaires vivants pour des applications médicales.</t>
  </si>
  <si>
    <t>Spécialiste en bioimpression</t>
  </si>
  <si>
    <t>Utilise des imprimantes 3D biologiques pour créer des structures cellulaires.</t>
  </si>
  <si>
    <t>Ingénieur biomédical</t>
  </si>
  <si>
    <t>Conçoit des dispositifs médicaux en combinant ingénierie et biologie.</t>
  </si>
  <si>
    <t>Technicien biomédical</t>
  </si>
  <si>
    <t>Installe, entretient et répare les équipements médicaux dans les établissements de santé.</t>
  </si>
  <si>
    <t>Commerce</t>
  </si>
  <si>
    <t>DGEMC conseillée (option Tle)</t>
  </si>
  <si>
    <t>Écoles de commerce post-bac ou prépa ECG ; secteurs pharma, biotech, agro</t>
  </si>
  <si>
    <t>Acheteur hospitalier</t>
  </si>
  <si>
    <t>Négocie les contrats d'achat de matériel médical et médicaments en fonction des besoin d'un hôpital.</t>
  </si>
  <si>
    <t>Chef de produit cosmétique et détergence</t>
  </si>
  <si>
    <t>Gère le développement et le lancement de nouveaux produits cosmétiques sur le marché.</t>
  </si>
  <si>
    <t>Cosmétique &amp; Dermatologie</t>
  </si>
  <si>
    <t>Licences chimie-biologie, écoles de cosmétique</t>
  </si>
  <si>
    <t>Contrôleur qualité</t>
  </si>
  <si>
    <t>Vérifie la conformité des produits cosmétiques aux normes de qualité et sécurité.</t>
  </si>
  <si>
    <t>Agent de pesée</t>
  </si>
  <si>
    <t>Mesure et prépare les matières premières entrant dans la fabrication cosmétique.</t>
  </si>
  <si>
    <t>Responsable développement packaging</t>
  </si>
  <si>
    <t>Conçoit les emballages des produits cosmétiques en intégrant les contraintes techniques.</t>
  </si>
  <si>
    <t>Chargée de projet</t>
  </si>
  <si>
    <t>Coordonne les étapes du développement d'un produit cosmétique du lab au lancement.</t>
  </si>
  <si>
    <t>Data science</t>
  </si>
  <si>
    <t>Licences info/maths/bio, masters data (SVT = contexte biologique)</t>
  </si>
  <si>
    <t>Ingénieur data Agro</t>
  </si>
  <si>
    <t>Analyse les données agricoles pour optimiser les rendements et pratiques culturales.</t>
  </si>
  <si>
    <t>Analyste des données INSEP</t>
  </si>
  <si>
    <t>Exploite les données de performance des athlètes pour optimiser l'entraînement.</t>
  </si>
  <si>
    <t>Analyste de données Cyclisme</t>
  </si>
  <si>
    <t>Traite les données des cyclistes professionnels pour améliorer leurs performances.</t>
  </si>
  <si>
    <t>Data manager en santé</t>
  </si>
  <si>
    <t>Gère et sécurise les bases de données médicales dans les établissements de santé.</t>
  </si>
  <si>
    <t>Biostatisticienne</t>
  </si>
  <si>
    <t>Applique des méthodes statistiques avancées à des données biologiques ou médicales.</t>
  </si>
  <si>
    <t>Ingénieurs bioanalystes</t>
  </si>
  <si>
    <t>Traite et analyse les données biologiques brutes, notamment issues du séquençage du génome, en utilisant l'informatique et les mathématiques pour leur donner un sens biologique</t>
  </si>
  <si>
    <t>Attaché de recherche clinique</t>
  </si>
  <si>
    <t>Interface essentielle entre le promoteur d'une étude, les médecins et les patients</t>
  </si>
  <si>
    <t>Droit</t>
  </si>
  <si>
    <t>DGEMC fortement conseillée (option Tle)</t>
  </si>
  <si>
    <t>Fac de droit, IEP ; SVT pour le droit de l'environnement</t>
  </si>
  <si>
    <t>Juriste en droit de l'environnement</t>
  </si>
  <si>
    <t>Conseille sur les questions juridiques liées à la protection de l'environnement.</t>
  </si>
  <si>
    <t>Avocate en droit de l'environnement</t>
  </si>
  <si>
    <t>Plaide pour faire respecter la législation environnementale.</t>
  </si>
  <si>
    <t>Inspecteur de l'environnement</t>
  </si>
  <si>
    <t>Contrôle le respect des réglementations environnementales.</t>
  </si>
  <si>
    <t>Spécialiste aux affaires réglementaires en pharmacologie</t>
  </si>
  <si>
    <t>Assure la conformité réglementaire des médicaments lors de leur développement.</t>
  </si>
  <si>
    <t>Epidémiologie</t>
  </si>
  <si>
    <t>SVT + Maths ou SVT + Physique-Chimie</t>
  </si>
  <si>
    <t>Licences santé/bio, PASS, master épidémiologie</t>
  </si>
  <si>
    <t>Epidémiologiste</t>
  </si>
  <si>
    <t>Étudie la distribution et les causes des maladies dans les populations.</t>
  </si>
  <si>
    <t>Trace l'origine et la transmission des maladies infectieuses par analyses génétiques.</t>
  </si>
  <si>
    <t>Epidémiologiste en santé environnementale</t>
  </si>
  <si>
    <t>Analyse les liens entre facteurs environnementaux et santé des populations.</t>
  </si>
  <si>
    <t>Ethologie et comportement animal</t>
  </si>
  <si>
    <t>SVT + Physique-Chimie ou SVT + HGGSP</t>
  </si>
  <si>
    <t>Licence bio, master éthologie</t>
  </si>
  <si>
    <t>Primatologue</t>
  </si>
  <si>
    <t>Étudie le comportement et la cognition des primates dans leur milieu naturel.</t>
  </si>
  <si>
    <t>Ethologue</t>
  </si>
  <si>
    <t>Observe et analyse les comportements des animaux pour comprendre leurs interactions.</t>
  </si>
  <si>
    <t>Exobiologie</t>
  </si>
  <si>
    <t>Prépa BCPST ou MPSI, licences physique/bio</t>
  </si>
  <si>
    <t>Chercheur en exobiologie</t>
  </si>
  <si>
    <t>Recherche les conditions d'apparition de la vie dans l'univers.</t>
  </si>
  <si>
    <t>Finance</t>
  </si>
  <si>
    <t>Maths compl. utile si Maths non conservée · DGEMC conseillée</t>
  </si>
  <si>
    <t>Écoles de commerce, IEP ; SVT pour la finance verte / ESG</t>
  </si>
  <si>
    <t>Être experte investissement responsable</t>
  </si>
  <si>
    <t>Sélectionne des investissements en intégrant des critères environnementaux et sociaux (ESG).</t>
  </si>
  <si>
    <t>Forêts</t>
  </si>
  <si>
    <t>Écoles forestières, licences écologie</t>
  </si>
  <si>
    <t>Ingénieur forestier</t>
  </si>
  <si>
    <t>Gère durablement les massifs forestiers en planifiant coupes et reboisements / évaluations environnementales des projets</t>
  </si>
  <si>
    <t>Responsable unité territoriale</t>
  </si>
  <si>
    <t>Coordonne la gestion forestière sur un territoire pour l'ONF.</t>
  </si>
  <si>
    <t>Génétique</t>
  </si>
  <si>
    <t>Ingénieur en génomique végétale</t>
  </si>
  <si>
    <t>Analyse le génome des plantes pour identifier des gènes d'intérêt agronomique.</t>
  </si>
  <si>
    <t>Généticien des populations</t>
  </si>
  <si>
    <t>Étudie la diversité génétique au sein des populations animales ou végétales.</t>
  </si>
  <si>
    <t>Conseiller en génétique</t>
  </si>
  <si>
    <t>Accompagne les patients dans la compréhension des maladies génétiques héréditaires.</t>
  </si>
  <si>
    <t>Généticien clinicien</t>
  </si>
  <si>
    <t>Médecin spécialiste qui diagnostique les maladies d'origine génétique.</t>
  </si>
  <si>
    <t>Cytogénéticien</t>
  </si>
  <si>
    <t>Analyse les chromosomes des cellules pour détecter des anomalies.</t>
  </si>
  <si>
    <t>Ingénieur en cytogénétique</t>
  </si>
  <si>
    <t>Réalise des analyses chromosomiques en laboratoire hospitalier ou de recherche.</t>
  </si>
  <si>
    <t>Technicien de laboratoire en génétique</t>
  </si>
  <si>
    <t>Prépare et analyse les échantillons biologiques pour les tests génétiques.</t>
  </si>
  <si>
    <t>Traite et interprète les données génomiques pour comprendre l'hérédité.</t>
  </si>
  <si>
    <t>Biologiste en génétique moléculaire</t>
  </si>
  <si>
    <t>Analyse l'ADN et l'ARN pour diagnostiquer des maladies ou mener des recherches.</t>
  </si>
  <si>
    <t>Fœtopathologiste</t>
  </si>
  <si>
    <t>Médecin spécialisé qui réalise des autopsies sur les fœtus ou les nouveau-nés décédés</t>
  </si>
  <si>
    <t>Chercheur en génétique en milieu hospitalier</t>
  </si>
  <si>
    <t>Mène des recherches sur les bases génétiques des maladies en contexte hospitalier.</t>
  </si>
  <si>
    <t>Paléogénéticien</t>
  </si>
  <si>
    <t>Extrait et analyse l'ADN ancien d'ossements pour reconstituer l'histoire évolutive.</t>
  </si>
  <si>
    <t>Géosciences</t>
  </si>
  <si>
    <t>Licences STU, prépa BCPST</t>
  </si>
  <si>
    <t>Ingénieur·e géologue</t>
  </si>
  <si>
    <t>Étudie les roches et sols pour des projets d'exploration minière ou de génie civil.</t>
  </si>
  <si>
    <t>Géophysicien</t>
  </si>
  <si>
    <t>Utilise des méthodes de mesures physiques pour analyser les structures et les propriétés du sous-sol afin d'en comprendre la composition et la géométrie</t>
  </si>
  <si>
    <t>Climatologue</t>
  </si>
  <si>
    <t>Étudie les variations du climat et modélise les évolutions futures.</t>
  </si>
  <si>
    <t>Litholamelleur</t>
  </si>
  <si>
    <t>Prépare des lames minces de roches pour l'analyse microscopique en géologie.</t>
  </si>
  <si>
    <t>Géotechnique</t>
  </si>
  <si>
    <t>Écoles d'ingénieurs, licence STU</t>
  </si>
  <si>
    <t>Géotechnicien</t>
  </si>
  <si>
    <t>Analyse les caractéristiques mécaniques des sols pour des projets de construction.</t>
  </si>
  <si>
    <t>Technicienne Laboratoire</t>
  </si>
  <si>
    <t>Réalise des essais mécaniques sur des échantillons de sol en laboratoire.</t>
  </si>
  <si>
    <t>Chef sondeur</t>
  </si>
  <si>
    <t>Dirige les opérations de forage géotechnique pour prélever des carottes de sol.</t>
  </si>
  <si>
    <t>Sondeur géotechnique</t>
  </si>
  <si>
    <t>Effectue des prélèvements de terrain pour analyser les sols.</t>
  </si>
  <si>
    <t>Ingénieur·e géotechnique</t>
  </si>
  <si>
    <t>Conçoit les fondations des ouvrages en analysant les contraintes du sol.</t>
  </si>
  <si>
    <t>Chargé d'affaires géotechnique</t>
  </si>
  <si>
    <t>Gère des projets d'études de sol de la prospection aux rapports.</t>
  </si>
  <si>
    <t>Géomètre</t>
  </si>
  <si>
    <t>Mesure et délimite les terrains pour des projets d'aménagement ou de construction.</t>
  </si>
  <si>
    <t>Les métiers de la géotechnique</t>
  </si>
  <si>
    <t>Présentation des différents métiers du secteur de l'étude des sols.</t>
  </si>
  <si>
    <t>Hydrogéologie</t>
  </si>
  <si>
    <t>Licence STU, masters hydrogéologie</t>
  </si>
  <si>
    <t>Hydrogéologue</t>
  </si>
  <si>
    <t>Gère l'ensemble du cycle de l'eau potable, de l'optimisation des ressources naturelles (souterraines et de surface) jusqu'à la maîtrise d'ouvrage des installations de production et de distribution</t>
  </si>
  <si>
    <t>Technicien·ne hydrogéologue</t>
  </si>
  <si>
    <t>Réalise des mesures de terrain pour caractériser les nappes phréatiques.</t>
  </si>
  <si>
    <t>Ingénieur hydrogéologue</t>
  </si>
  <si>
    <t>Etudie le comportement de l'eau souterraine pour accompagner les projets d'aménagement et de construction tout en préservant les équilibres naturels</t>
  </si>
  <si>
    <t>Chargée de missions scientifique biodiversité</t>
  </si>
  <si>
    <t>Étudie la biodiversité des milieux aquatiques et propose des mesures de préservation.</t>
  </si>
  <si>
    <t>Météorologie</t>
  </si>
  <si>
    <t>Prépa MPSI/PCSI, école de Météo-France</t>
  </si>
  <si>
    <t>Prévisionniste à Météo France</t>
  </si>
  <si>
    <t>Analyse les données atmosphériques pour établir des prévisions météorologiques.</t>
  </si>
  <si>
    <t>Prévisionniste aéronautique</t>
  </si>
  <si>
    <t>Fournit des prévisions météorologiques spécialisées pour la sécurité du trafic aérien.</t>
  </si>
  <si>
    <t>Prévisionniste avalanches</t>
  </si>
  <si>
    <t>Évalue les risques d'avalanche en montagne et diffuse des bulletins de sécurité.</t>
  </si>
  <si>
    <t>Météorologue océanographe dans l'armée</t>
  </si>
  <si>
    <t>Réalise des analyses météo et océanographiques pour les opérations militaires.</t>
  </si>
  <si>
    <t>Ingénieur météo</t>
  </si>
  <si>
    <t>Développe des modèles pour améliorer la précision des prévisions météorologiques.</t>
  </si>
  <si>
    <t>Missions scientifiques</t>
  </si>
  <si>
    <t>Formations scientifiques variées (TAAF, instituts polaires)</t>
  </si>
  <si>
    <t>Les métiers du Marion Dufresne</t>
  </si>
  <si>
    <t>Présentation des métiers à bord du navire océanographique Marion Dufresne.</t>
  </si>
  <si>
    <t>Les scientifiques du Marion Dufresne</t>
  </si>
  <si>
    <t>Témoignages de chercheurs participant aux missions scientifiques polaires et océaniques.</t>
  </si>
  <si>
    <t>Neurosciences</t>
  </si>
  <si>
    <t>Licences bio, médecine (PASS/L.AS)</t>
  </si>
  <si>
    <t>Chercheur en neurobiologie</t>
  </si>
  <si>
    <t>Étudie le fonctionnement du cerveau à l'échelle cellulaire et moléculaire.</t>
  </si>
  <si>
    <t>Médecin-chercheur en neurosciences</t>
  </si>
  <si>
    <t>Combine activité clinique et recherche sur les maladies neurologiques.</t>
  </si>
  <si>
    <t>Neuropsychologue</t>
  </si>
  <si>
    <t>Évalue les fonctions cognitives et accompagne les patients ayant des lésions cérébrales.</t>
  </si>
  <si>
    <t>Océanographie</t>
  </si>
  <si>
    <t>Licence STU, prépa BCPST, masters</t>
  </si>
  <si>
    <t>Chercheur en océanographie / Grands pélagiques</t>
  </si>
  <si>
    <t>Étudie les grands pélagiques au sein des écosystèmes marins.</t>
  </si>
  <si>
    <t>Chercheur en écotoxicologie marine</t>
  </si>
  <si>
    <t>Analyse l'impact des polluants sur les écosystèmes marins.</t>
  </si>
  <si>
    <t>Chercheur en écologie marine</t>
  </si>
  <si>
    <t>Étudie les écosystèmes marins</t>
  </si>
  <si>
    <t>Océanographe</t>
  </si>
  <si>
    <t>Etudie les océans ou les systèmes de type marin / grands lacs</t>
  </si>
  <si>
    <t>Ingénieur océanographe</t>
  </si>
  <si>
    <t>Développe des instruments pour l'acquisition de données en milieu marin.</t>
  </si>
  <si>
    <t>Plongeur biologiste marin</t>
  </si>
  <si>
    <t>Réalise des observations et prélèvements biologiques sous-marins.</t>
  </si>
  <si>
    <t>Biologiste marin responsable aquariologie</t>
  </si>
  <si>
    <t>Gère des collections d'animaux marins vivants dans un aquarium ou centre de recherche.</t>
  </si>
  <si>
    <t>Biologiste marin à Tahiti</t>
  </si>
  <si>
    <t>Étudie la biodiversité des récifs coralliens et les écosystèmes tropicaux.</t>
  </si>
  <si>
    <t>Agent de la réserve marine</t>
  </si>
  <si>
    <t>Surveille et protège une aire marine protégée.</t>
  </si>
  <si>
    <t>Vétérinaire marin</t>
  </si>
  <si>
    <t>Assure le suivi sanitaire des mammifères marins en captivité ou lors d'échouages.</t>
  </si>
  <si>
    <t>Bioacousticienne marine</t>
  </si>
  <si>
    <t>Étudie les sons produits par les animaux marins pour comprendre leurs comportements.</t>
  </si>
  <si>
    <t>Ingénieure hydrographe</t>
  </si>
  <si>
    <t>Etudie les marées, les courants, les vagues et la bathymétrie pour sécuriser la navigation.</t>
  </si>
  <si>
    <t>Analyse les données génomiques des organismes marins.</t>
  </si>
  <si>
    <t>Ingénieur de recherche en biologie marine</t>
  </si>
  <si>
    <t>Conçoit des expériences sur les organismes marins en laboratoire ou en mer.</t>
  </si>
  <si>
    <t>Ingénieur halieutique</t>
  </si>
  <si>
    <t>Étudie et gère les ressources de pêche pour une exploitation durable.</t>
  </si>
  <si>
    <t>Contrôleur de pêche</t>
  </si>
  <si>
    <t>Vérifie le respect des réglementations de pêche en mer et dans les ports.</t>
  </si>
  <si>
    <t>Chargée de mission pêche maritime - OFB</t>
  </si>
  <si>
    <t>Surveille les écosystèmes halieutiques pour une pêche respectueuse de la biodiversité.</t>
  </si>
  <si>
    <t>Chargée d'études scientifiques - Kelonia</t>
  </si>
  <si>
    <t>Étudie les tortues marines et participe à leur conservation.</t>
  </si>
  <si>
    <t>Chercheuse en biogéochimie marine</t>
  </si>
  <si>
    <t>Analyse les cycles des éléments chimiques dans l'océan.</t>
  </si>
  <si>
    <t>Optique &amp; Vision</t>
  </si>
  <si>
    <t>Licences bio (orthoptie), physique, PASS</t>
  </si>
  <si>
    <t>Ophtalmologiste</t>
  </si>
  <si>
    <t>Médecin spécialiste qui diagnostique et traite les maladies de l'œil.</t>
  </si>
  <si>
    <t>Orthoptiste</t>
  </si>
  <si>
    <t>Rééduque les troubles de la vision et de la motricité oculaire.</t>
  </si>
  <si>
    <t>Opticien-Lunetier</t>
  </si>
  <si>
    <t>Réalise et adapte les équipements optiques correcteurs sur prescription médicale.</t>
  </si>
  <si>
    <t>Optométriste</t>
  </si>
  <si>
    <t>Réalise des examens visuels complets et adapte les corrections optiques.</t>
  </si>
  <si>
    <t>Ingénieur R&amp;D en photonique</t>
  </si>
  <si>
    <t>Développe des technologies optiques pour des applications médicales ou industrielles.</t>
  </si>
  <si>
    <t>Paléontologie</t>
  </si>
  <si>
    <t>Licence SVT puis master paléontologie</t>
  </si>
  <si>
    <t>Paléontologue</t>
  </si>
  <si>
    <t>Étudie les fossiles pour reconstituer l'histoire de la vie sur Terre.</t>
  </si>
  <si>
    <t>Technicien préparateur en paléontologie</t>
  </si>
  <si>
    <t>Dégage et prépare les fossiles découverts sur les sites de fouilles.</t>
  </si>
  <si>
    <t>Conservateur en paléontologie</t>
  </si>
  <si>
    <t>Gère et valorise les collections de fossiles d'un muséum.</t>
  </si>
  <si>
    <t>Restauratrice de fossiles</t>
  </si>
  <si>
    <t>Nettoie, reconstitue et stabilise les fossiles pour exposition ou étude.</t>
  </si>
  <si>
    <t>Préparateur-mouleur</t>
  </si>
  <si>
    <t>Réalise des moulages de fossiles pour des musées ou centres de recherche.</t>
  </si>
  <si>
    <t>Pharmacie</t>
  </si>
  <si>
    <t>PASS ou L.AS (filière pharmacie)</t>
  </si>
  <si>
    <t>Directeur de recherche dans un laboratoire pharmaceutique</t>
  </si>
  <si>
    <t>Dirige les programmes de recherche pour développer de nouveaux médicaments.</t>
  </si>
  <si>
    <t>Responsable qualité / Directeur dans un laboratoire pharmaceutique</t>
  </si>
  <si>
    <t>Garantit la conformité des médicaments aux normes de qualité et sécurité.</t>
  </si>
  <si>
    <t>Chef·fe de projet en pharmacologie</t>
  </si>
  <si>
    <t>Coordonne les études précliniques et cliniques sur les médicaments.</t>
  </si>
  <si>
    <t>Étudie les micro-organismes dans un contexte de recherche ou industriel.</t>
  </si>
  <si>
    <t>Pharmacien hospitalier</t>
  </si>
  <si>
    <t>Gère les médicaments et dispositifs médicaux stériles dans un hôpital.</t>
  </si>
  <si>
    <t>Pharmacien d'officine</t>
  </si>
  <si>
    <t>Délivre les médicaments et conseille les patients en pharmacie de ville.</t>
  </si>
  <si>
    <t>Chercheuse/Assistante hospitalo-universitaire en pharmacie</t>
  </si>
  <si>
    <t>Combine enseignement, recherche et pratique clinique pharmaceutique.</t>
  </si>
  <si>
    <t>Biologiste médical</t>
  </si>
  <si>
    <t>Dirige un laboratoire d'analyses médicales et interprète les résultats.</t>
  </si>
  <si>
    <t>Technicien de laboratoire</t>
  </si>
  <si>
    <t>Réalise des analyses biologiques sur les prélèvements des patients.</t>
  </si>
  <si>
    <t>Associé·e de recherche clinique</t>
  </si>
  <si>
    <t>Participe à la conduite et au suivi des essais cliniques.</t>
  </si>
  <si>
    <t>Physiologie humaine</t>
  </si>
  <si>
    <t>Licences bio, médecine (PASS)</t>
  </si>
  <si>
    <t>Directrice de Recherche au laboratoire Biomécanique et Bioingénierie</t>
  </si>
  <si>
    <t>Dirige des recherches sur la mécanique du corps humain pour des applications médicales.</t>
  </si>
  <si>
    <t>Enseignant chercheur en sciences du sport</t>
  </si>
  <si>
    <t>Combine enseignement universitaire et recherche sur la physiologie de l'exercice.</t>
  </si>
  <si>
    <t>Chercheuse en physiologie - cancer du sein</t>
  </si>
  <si>
    <t>Étudie les mécanismes physiologiques impliqués dans le cancer du sein.</t>
  </si>
  <si>
    <t>Police scientifique</t>
  </si>
  <si>
    <t>Licence bio ou chimie, masters criminalistique</t>
  </si>
  <si>
    <t>Ingénieur de la police scientifique</t>
  </si>
  <si>
    <t>Analyse les indices de scènes de crime à l'aide de techniques scientifiques.</t>
  </si>
  <si>
    <t>Technicienne de la police scientifique</t>
  </si>
  <si>
    <t>Prélève et analyse les traces biologiques et chimiques sur les scènes de crime.</t>
  </si>
  <si>
    <t>Entomologiste légal à la gendarmerie nationale</t>
  </si>
  <si>
    <t>Utilise l'étude des insectes pour déterminer la date de décès dans les enquêtes.</t>
  </si>
  <si>
    <t>Médecin légiste</t>
  </si>
  <si>
    <t>Réalise des autopsies et expertises médico-légales pour élucider les causes de décès.</t>
  </si>
  <si>
    <t>Psychologie/Psychiatrie</t>
  </si>
  <si>
    <t>SVT + Physique-Chimie (psychiatrie) ou SVT + SES (psychologie)</t>
  </si>
  <si>
    <t>PASS/médecine (psychiatrie) ; licence de psychologie</t>
  </si>
  <si>
    <t>Psychomotricien</t>
  </si>
  <si>
    <t>Rééduque les troubles du mouvement et de l'expression corporelle.</t>
  </si>
  <si>
    <t>Psychiatre</t>
  </si>
  <si>
    <t>Médecin spécialiste qui diagnostique et traite les maladies mentales.</t>
  </si>
  <si>
    <t>Préparateur mental (sport professionnel)</t>
  </si>
  <si>
    <t>Accompagne les sportifs de haut niveau dans la gestion du stress et des performances mentales.</t>
  </si>
  <si>
    <t>Psychologue</t>
  </si>
  <si>
    <t>Évalue et accompagne les personnes en souffrance psychologique par des entretiens et thérapies.</t>
  </si>
  <si>
    <t>Responsabilité sociétale des entreprises</t>
  </si>
  <si>
    <t>IEP, écoles ; SVT pour les enjeux environnementaux</t>
  </si>
  <si>
    <t>Responsable RSE à la Banque de France</t>
  </si>
  <si>
    <t>Pilote la politique de responsabilité sociale et environnementale d'une grande institution.</t>
  </si>
  <si>
    <t>Responsable Hygiène Santé Environnement</t>
  </si>
  <si>
    <t>Gère les risques professionnels et environnementaux dans une entreprise industrielle.</t>
  </si>
  <si>
    <t>Coordinatrice RSE</t>
  </si>
  <si>
    <t>Met en œuvre et suit les engagements environnementaux et sociaux d'une organisation.</t>
  </si>
  <si>
    <t>Santé - Professions médicales et paramédicales</t>
  </si>
  <si>
    <t>PASS, L.AS, écoles paramédicales</t>
  </si>
  <si>
    <t>Cadre supérieur de santé à l'hôpital</t>
  </si>
  <si>
    <t>Manage les équipes de soins et coordonne l'organisation d'un service hospitalier.</t>
  </si>
  <si>
    <t>Infirmiers anesthésistes</t>
  </si>
  <si>
    <t>Assiste le médecin anesthésiste et gère la sédation des patients en salle d'opération.</t>
  </si>
  <si>
    <t>Infirmier de Bloc Opératoire (IBODE)</t>
  </si>
  <si>
    <t>Assiste les chirurgiens pendant les opérations en gérant l'instrumentation stérile.</t>
  </si>
  <si>
    <t>Infirmier·ère hygiéniste à l'hôpital</t>
  </si>
  <si>
    <t>Prévient les infections nosocomiales en contrôlant les pratiques d'hygiène.</t>
  </si>
  <si>
    <t>Infirmier libéral</t>
  </si>
  <si>
    <t>Prodigue des soins à domicile sur prescription médicale en toute autonomie.</t>
  </si>
  <si>
    <t>Infirmier·ère coordinateur·rice en HAD</t>
  </si>
  <si>
    <t>Coordonne les soins des patients hospitalisés à domicile.</t>
  </si>
  <si>
    <t>Infirmier·ère de santé au travail</t>
  </si>
  <si>
    <t>Surveille la santé des salariés et prévient les risques professionnels.</t>
  </si>
  <si>
    <t>Infirmier·ère en pratique avancée (IPA)</t>
  </si>
  <si>
    <t>Assure des consultations et prescriptions dans un domaine spécialisé avec grande autonomie.</t>
  </si>
  <si>
    <t>Médecin généraliste</t>
  </si>
  <si>
    <t>Assure le suivi global de la santé des patients et les oriente vers des spécialistes.</t>
  </si>
  <si>
    <t>Médecin anesthésiste - réanimateur</t>
  </si>
  <si>
    <t>Gère l'anesthésie lors des opérations et prend en charge les patients en réanimation.</t>
  </si>
  <si>
    <t>Médecin endocrinologue</t>
  </si>
  <si>
    <t>Diagnostique et traite les maladies des glandes endocrines (diabète, thyroïde).</t>
  </si>
  <si>
    <t>Médecin oto-rhino-laryngologiste (ORL)</t>
  </si>
  <si>
    <t>Soigne les affections de l'oreille, du nez et de la gorge.</t>
  </si>
  <si>
    <t>Médecin gynécologue-obstétricien</t>
  </si>
  <si>
    <t>Suit la santé de la femme et accompagne les grossesses jusqu'à l'accouchement.</t>
  </si>
  <si>
    <t>Médecin pédiatre</t>
  </si>
  <si>
    <t>Assure le suivi médical des nourrissons, enfants et adolescents.</t>
  </si>
  <si>
    <t>Coordonne et surveille les essais cliniques pour garantir leur qualité.</t>
  </si>
  <si>
    <t>Coordinatrice en recherche clinique</t>
  </si>
  <si>
    <t>Organise et coordonne les essais cliniques dans les hôpitaux universitaires.</t>
  </si>
  <si>
    <t>Psychiatre hospitalier</t>
  </si>
  <si>
    <t>Diagnostique et traite les troubles psychiatriques sévères en milieu hospitalier.</t>
  </si>
  <si>
    <t>Manipulateur radio en imagerie médicale</t>
  </si>
  <si>
    <t>Réalise des examens d'imagerie médicale (radio, scanner, IRM) sur les patients.</t>
  </si>
  <si>
    <t>Kinésithérapeute (hôpitaux puis libéral)</t>
  </si>
  <si>
    <t>Rééduque les patients après une blessure, une opération ou une maladie invalidante.</t>
  </si>
  <si>
    <t>Masseur Kinésithérapeute INSEP (sport)</t>
  </si>
  <si>
    <t>Assure le suivi physique et la récupération des sportifs de haut niveau.</t>
  </si>
  <si>
    <t>Ergothérapeute</t>
  </si>
  <si>
    <t>Aide les personnes handicapées à retrouver leur autonomie dans la vie quotidienne.</t>
  </si>
  <si>
    <t>Diététicien·ne</t>
  </si>
  <si>
    <t>Conseille les patients sur leur alimentation pour prévenir ou traiter des pathologies.</t>
  </si>
  <si>
    <t>Sage femme</t>
  </si>
  <si>
    <t>Assure le suivi de la grossesse, l'accouchement et le suivi post-natal.</t>
  </si>
  <si>
    <t>Préparateur·trice en pharmacie à l'hôpital</t>
  </si>
  <si>
    <t>Prépare les médicaments sous contrôle pharmaceutique pour les services hospitaliers.</t>
  </si>
  <si>
    <t>Aide-soignant·e</t>
  </si>
  <si>
    <t>Accompagne les patients dans les actes de la vie quotidienne et assiste les infirmiers.</t>
  </si>
  <si>
    <t>Chirurgienne-dentiste</t>
  </si>
  <si>
    <t>Diagnostique et traite les maladies des dents et de la bouche.</t>
  </si>
  <si>
    <t>Orthodontiste</t>
  </si>
  <si>
    <t>Corrige les malpositions dentaires à l'aide d'appareils orthodontiques.</t>
  </si>
  <si>
    <t>Assistant·e dentaire</t>
  </si>
  <si>
    <t>Assiste le dentiste lors des soins et gère la stérilisation du matériel.</t>
  </si>
  <si>
    <t>Auxiliaire de puériculture</t>
  </si>
  <si>
    <t>Prend soin des nouveau-nés et jeunes enfants en crèche ou en maternité.</t>
  </si>
  <si>
    <t>Brancardier régulateur</t>
  </si>
  <si>
    <t>Transporte les patients dans les hôpitaux et coordonne les transferts.</t>
  </si>
  <si>
    <t>Assistant de régulation médicale au SAMU</t>
  </si>
  <si>
    <t>Reçoit les appels d'urgence médicale et coordonne les interventions.</t>
  </si>
  <si>
    <t>Secrétaire médicale au laboratoire</t>
  </si>
  <si>
    <t>Gère les dossiers des patients et assure l'accueil dans un laboratoire d'analyses.</t>
  </si>
  <si>
    <t>Standardiste à l'hôpital</t>
  </si>
  <si>
    <t>Gère les communications téléphoniques dans un établissement de santé.</t>
  </si>
  <si>
    <t>Animatrice qualité et gestion des risques</t>
  </si>
  <si>
    <t>Pilote les démarches qualité et la sécurité des soins dans un établissement.</t>
  </si>
  <si>
    <t>Négocie les contrats d'achat de matériels médicaux et médicaments pour un hôpital.</t>
  </si>
  <si>
    <t>Santé - Thérapies complémentaires, accompagnement et bien-être</t>
  </si>
  <si>
    <t>SVT + Physique-Chimie ou SVT + SES</t>
  </si>
  <si>
    <t>Licences bio, STAPS, psychologie</t>
  </si>
  <si>
    <t>Ostéopathe</t>
  </si>
  <si>
    <t>Traite les douleurs et dysfonctions du corps par des manipulations manuelles.</t>
  </si>
  <si>
    <t>Chiropracteur</t>
  </si>
  <si>
    <t>Prend en charge les troubles musculo-squelettiques par des ajustements vertébraux.</t>
  </si>
  <si>
    <t>Psychologue du travail à l'hôpital</t>
  </si>
  <si>
    <t>Accompagne les professionnels de santé face au stress et aux risques psychosociaux.</t>
  </si>
  <si>
    <t>Sciences de l'évolution</t>
  </si>
  <si>
    <t>SVT + Physique-Chimie, SVT + Maths ou SVT + HGGSP</t>
  </si>
  <si>
    <t>Licence bio, master évolution</t>
  </si>
  <si>
    <t>Paléobiologiste</t>
  </si>
  <si>
    <t>Étudie les formes de vie anciennes à travers les fossiles pour comprendre l'évolution.</t>
  </si>
  <si>
    <t>Chercheuse en écologie évolutive</t>
  </si>
  <si>
    <t>Utilise la modélisation mathématique pour comprendre comment le vivant répond aux changements environnementaux sur le temps long.</t>
  </si>
  <si>
    <t>Sport</t>
  </si>
  <si>
    <t>Licence STAPS</t>
  </si>
  <si>
    <t>Préparateur physique</t>
  </si>
  <si>
    <t>Conçoit et supervise les entraînements physiques des sportifs de haut niveau.</t>
  </si>
  <si>
    <t>Accompagne les sportifs dans la gestion du stress et l'optimisation des performances.</t>
  </si>
  <si>
    <t>Masseur Kinésithérapeute INSEP</t>
  </si>
  <si>
    <t>Assure le suivi physique et la récupération des sportifs de haut niveau à l'INSEP.</t>
  </si>
  <si>
    <t>Éducateur territorial APS (ETAPS)</t>
  </si>
  <si>
    <t>Anime des activités sportives dans une collectivité territoriale.</t>
  </si>
  <si>
    <t>Éducatrice socio-sportive</t>
  </si>
  <si>
    <t>Utilise le sport comme outil d'insertion sociale auprès de publics en difficulté.</t>
  </si>
  <si>
    <t>Agent de développement</t>
  </si>
  <si>
    <t>Développe la pratique sportive sur un territoire en animant un réseau de clubs.</t>
  </si>
  <si>
    <t>Enseignant en Activité Physique Adaptée</t>
  </si>
  <si>
    <t>Conçoit des programmes sportifs pour des personnes en situation de handicap.</t>
  </si>
  <si>
    <t>Conseiller Technique de Ligue Triathlon</t>
  </si>
  <si>
    <t>Forme les entraîneurs et encadre le développement sportif d'une discipline.</t>
  </si>
  <si>
    <t>Conseillère technique national</t>
  </si>
  <si>
    <t>Définit et coordonne la politique sportive nationale d'une fédération.</t>
  </si>
  <si>
    <t>Directeur de Ligue Triathlon</t>
  </si>
  <si>
    <t>Gère administrativement et sportivement une ligue régionale de triathlon.</t>
  </si>
  <si>
    <t>Directrice sportive/Directeur sportif</t>
  </si>
  <si>
    <t>Dirige la stratégie sportive d'un club ou d'une fédération.</t>
  </si>
  <si>
    <t>Responsable de salle de sport</t>
  </si>
  <si>
    <t>Gère une salle de fitness : personnel, programmes et clientèle.</t>
  </si>
  <si>
    <t>Organisateur d'événement sportif</t>
  </si>
  <si>
    <t>Planifie et coordonne les compétitions sportives de l'inscription à la remise des prix.</t>
  </si>
  <si>
    <t>Entraîneure Ski Nautique</t>
  </si>
  <si>
    <t>Entraîne des sportifs en ski nautique en gérant leur progression technique.</t>
  </si>
  <si>
    <t>Ingénieur Recherche et Développement en biomécanique chez Decathlon</t>
  </si>
  <si>
    <t>Conçoit des équipements sportifs en analysant les mouvements du corps humain.</t>
  </si>
  <si>
    <t>Apiculture &amp; Entomologie appliquée</t>
  </si>
  <si>
    <t>Licence bio, masters entomologie</t>
  </si>
  <si>
    <t>Licences bio marine</t>
  </si>
  <si>
    <t>Biomatériaux &amp; Implants</t>
  </si>
  <si>
    <t>Écoles d'ingénieurs biomédicaux</t>
  </si>
  <si>
    <t>Enseignement &amp; Recherche en SVT</t>
  </si>
  <si>
    <t>Licence bio, master MEEF SVT</t>
  </si>
  <si>
    <t>Génie écologique &amp; Restauration</t>
  </si>
  <si>
    <t>Licences écologie</t>
  </si>
  <si>
    <t>Jardins &amp; Espaces verts</t>
  </si>
  <si>
    <t>Licences pro paysage</t>
  </si>
  <si>
    <t>Journalisme &amp; Médiation scientifique</t>
  </si>
  <si>
    <t>Écoles de journalisme ; SVT pour la médiation scientifique</t>
  </si>
  <si>
    <t>Muséums, écoles du patrimoine</t>
  </si>
  <si>
    <t>Mycologie &amp; Champignons</t>
  </si>
  <si>
    <t>Licence bio, master mycologie</t>
  </si>
  <si>
    <t>Toxicologie &amp; Sécurité chimique</t>
  </si>
  <si>
    <t>Licences chimie ou bio, masters toxicologie</t>
  </si>
  <si>
    <t>Vétérinaire &amp; Santé animale</t>
  </si>
  <si>
    <t>Prépa BCPST → ENV (concours sélectif)</t>
  </si>
  <si>
    <t>MC = Maths complémentaires : option de Terminale (3 h) réservée aux élèves ayant suivi la spécialité Maths en 1ère et ne la conservant pas en Tle — inutile si la spé Maths est gardée (voir alors « Maths expertes »). DGEMC = Droit et Grands Enjeux du Monde Contemporain (option de Terminale). Tous les métiers de ce fichier sont accessibles avec SVT en spécialité de 1ère.</t>
  </si>
  <si>
    <t>📋  SOMMAIRE — VIDÉOS D'ORIENTATION SVT</t>
  </si>
  <si>
    <t>N°</t>
  </si>
  <si>
    <t>Catégorie</t>
  </si>
  <si>
    <t>Accéder</t>
  </si>
  <si>
    <t>→ Voir les métiers</t>
  </si>
  <si>
    <t>→ Compléter</t>
  </si>
  <si>
    <t>🔲 Aquaculture &amp; Pêche durable</t>
  </si>
  <si>
    <t>🔲 Biomatériaux &amp; Implants</t>
  </si>
  <si>
    <t>🔲 Enseignement &amp; Recherche en SVT</t>
  </si>
  <si>
    <t>🔲 Génie écologique &amp; Restauration</t>
  </si>
  <si>
    <t>🔲 Mycologie &amp; Champignons</t>
  </si>
  <si>
    <t>🔲 Toxicologie &amp; Sécurité chimique</t>
  </si>
  <si>
    <t>🔲 Vétérinaire &amp; Santé animale</t>
  </si>
  <si>
    <t>📘  MODE D'EMPLOI — VIDÉOS D'ORIENTATION SVT</t>
  </si>
  <si>
    <t>Ressource pédagogique créée par Lucas Bollori, professeur de SVT  •  Usage libre pour l'enseignement non commercial</t>
  </si>
  <si>
    <t>🎯  Présentation de la ressource</t>
  </si>
  <si>
    <t>Objectif</t>
  </si>
  <si>
    <t>Aider les élèves de lycée général à découvrir des métiers accessibles avec la spécialité SVT (Sciences de la Vie et de la Terre), en s'appuyant sur des témoignages vidéo courts et concrets.</t>
  </si>
  <si>
    <t>Public cible</t>
  </si>
  <si>
    <t>Élèves de 2nde, 1ère et Terminale de lycée général
Enseignants de SVT et conseillers d'orientation</t>
  </si>
  <si>
    <t>Principe clé</t>
  </si>
  <si>
    <t>Tous les métiers présentés dans ce fichier sont accessibles avec SVT en spécialité de 1ère. La colonne 'Spécialités recommandées' précise les combinaisons optimales selon le métier visé.</t>
  </si>
  <si>
    <t>📂  Structure du fichier</t>
  </si>
  <si>
    <t>📋  Sommaire</t>
  </si>
  <si>
    <t>Point d'entrée principal. Liste les 51 catégories de métiers.
→ Cliquer sur une catégorie ou sur '→ Voir les métiers' pour y accéder directement.
Les catégories en gris (🔲) sont encore à compléter.</t>
  </si>
  <si>
    <t>📘  Mode d'emploi</t>
  </si>
  <si>
    <t>Cette feuille. À lire en premier pour comprendre le fonctionnement du fichier.</t>
  </si>
  <si>
    <t>🎬  Présentations métiers</t>
  </si>
  <si>
    <t>Feuille principale. Contient l'ensemble des métiers classés par catégorie, avec leurs vidéos associées.
→ Utiliser le lien '← Retour au Sommaire' en haut à gauche pour revenir au Sommaire.</t>
  </si>
  <si>
    <t>🔍  Comment lire une fiche métier</t>
  </si>
  <si>
    <t>Colonne  Métier</t>
  </si>
  <si>
    <t>Nom du professionnel ou de la fonction exercée dans la vidéo.</t>
  </si>
  <si>
    <t>Colonne  ▶ Vidéo 1</t>
  </si>
  <si>
    <t>Lien vers la première vidéo de témoignage. Cliquer pour ouvrir dans le navigateur.
Durée cible : moins de 5 minutes, en français.</t>
  </si>
  <si>
    <t>Colonne  ▶ Vidéo 2</t>
  </si>
  <si>
    <t>Lien vers une seconde vidéo complémentaire, quand elle existe.</t>
  </si>
  <si>
    <t>Colonne  Spécialités</t>
  </si>
  <si>
    <t>📚  Note sur les spécialités (rentrée 2026)</t>
  </si>
  <si>
    <t>Maths complémentaires</t>
  </si>
  <si>
    <t>Option de Terminale (3 h/semaine) réservée aux élèves ayant suivi la spécialité Maths en 1ère et qui ne la conservent PAS en Terminale. Elle conserve un socle mathématique sans la spécialité complète. ⚠️ Si la spécialité Maths est gardée en Tle, les Maths complémentaires sont inutiles (c'est alors l'option « Maths expertes » qui approfondit). Cadre Éduscol/Parcoursup stable en 2026.</t>
  </si>
  <si>
    <t>Spécialités disponibles</t>
  </si>
  <si>
    <t>Ce tableau s'adresse aux élèves de lycée général. Les spécialités indiquées sont toutes disponibles dans des lycées généraux (SVT, Physique-Chimie, Maths, HGGSP, SES, NSI, LLCER, HLP, Arts).</t>
  </si>
  <si>
    <t>🏫  Suggestions d'utilisation en classe</t>
  </si>
  <si>
    <t>En autonomie</t>
  </si>
  <si>
    <t>Mettre le fichier à disposition des élèves via l'ENT, Teams ou Google Classroom. Ils naviguent librement selon leurs centres d'intérêt.</t>
  </si>
  <si>
    <t>En séance d'orientation</t>
  </si>
  <si>
    <t>Projeter le Sommaire, sélectionner une catégorie avec les élèves, visionner 1 ou 2 vidéos et engager la discussion sur les parcours de formation.</t>
  </si>
  <si>
    <t>En lien avec les choix de spécialités</t>
  </si>
  <si>
    <t>Utiliser la colonne 'Spécialités recommandées' lors des périodes de choix (fin de 2nde, fin de 1ère) pour aider les élèves à connecter leurs aspirations professionnelles à leurs choix de spécialités.</t>
  </si>
  <si>
    <t>⚖️  Droits d'utilisation et licence</t>
  </si>
  <si>
    <t>Auteur</t>
  </si>
  <si>
    <t>Lucas Bollori, professeur de SVT</t>
  </si>
  <si>
    <t>Licence</t>
  </si>
  <si>
    <t>Creative Commons CC BY-NC-SA 4.0
→ Vous êtes libre de partager et d'adapter ce fichier
→ À condition de citer l'auteur (BY), de ne pas en faire un usage commercial (NC)
  et de partager vos modifications sous la même licence (SA)</t>
  </si>
  <si>
    <t>Vidéos YouTube</t>
  </si>
  <si>
    <t>Les vidéos liées dans ce fichier sont la propriété de leurs auteurs respectifs. Ce fichier ne fait que référencer des contenus publiquement accessibles sur YouTube. En cas de lien mort, merci de le signaler à l'auteur.</t>
  </si>
  <si>
    <t>Suggestions / corrections</t>
  </si>
  <si>
    <t>Ce fichier est en cours de développement. Toute suggestion de vidéo, correction ou retour d'usage est la bienvenue.</t>
  </si>
  <si>
    <t>🔲  Catégories en cours de complétion</t>
  </si>
  <si>
    <t>Les 14 catégories suivantes sont structurées mais ne contiennent pas encore de vidéos. Elles seront complétées dans les prochaines versions du fichier.</t>
  </si>
  <si>
    <t>🔲  Apiculture &amp; Entomologie appliquée   •   Aquaculture &amp; Pêche durable</t>
  </si>
  <si>
    <t>🔲  Biomatériaux &amp; Implants   •   Biomimétisme &amp; Éco-conception</t>
  </si>
  <si>
    <t>🔲  Enseignement &amp; Recherche en SVT   •   Génie écologique &amp; Restauration</t>
  </si>
  <si>
    <t>🔲  Jardins &amp; Espaces verts   •   Journalisme &amp; Médiation scientifique</t>
  </si>
  <si>
    <t>🔲  Muséographie   •   Muséologie scientifique</t>
  </si>
  <si>
    <t>🔲  Mycologie &amp; Champignons   •   One Health / Santé globale</t>
  </si>
  <si>
    <t>🔲  Toxicologie &amp; Sécurité chimique   •   Vétérinaire &amp; Santé animale</t>
  </si>
  <si>
    <t>Version en cours  •  Lucas Bollori  •  Licence CC BY-NC-SA 4.0  •  Usage pédagogique libre</t>
  </si>
  <si>
    <t>Études envisageables</t>
  </si>
  <si>
    <t>Spécialités de 1ère et Terminale recommandées pour les formations menant à ce métier.
→ Lecture : « SVT + X ou SVT + Y » = deux combinaisons possibles en Terminale.
Pour les métiers via Sciences Po/IEP ou écoles de commerce, deux voies sont indiquées. La colonne « Études envisageables » précise les poursuites d'études.</t>
  </si>
  <si>
    <t>Grand domaine</t>
  </si>
  <si>
    <t>Sciences du vivant (biologie &amp; génétique)</t>
  </si>
  <si>
    <t>Agriculture, alimentation &amp; filières</t>
  </si>
  <si>
    <t>Environnement, biodiversité &amp; écologie</t>
  </si>
  <si>
    <t>Sciences de la Terre, mer &amp; univers</t>
  </si>
  <si>
    <t>Santé humaine &amp; médecine</t>
  </si>
  <si>
    <t>Santé animale &amp; vétérinaire</t>
  </si>
  <si>
    <t>Données, numérique &amp; investigation</t>
  </si>
  <si>
    <t>Société, droit &amp; entreprise</t>
  </si>
  <si>
    <t>Médiation, culture scientifique &amp; enseignement</t>
  </si>
  <si>
    <t>Sport &amp; activité physique</t>
  </si>
  <si>
    <t>Géomaticien</t>
  </si>
  <si>
    <t>Maths complémentaire utile si Maths non conservée</t>
  </si>
  <si>
    <t>SVT + NSI ou SVT + Physique-Chimie ou SVT + Maths</t>
  </si>
  <si>
    <t>Analyse des données de terrain et des images aériennes pour créer des cartes précises (SIG) essentielles à la prise de décision pour l'aménagement des forêts</t>
  </si>
  <si>
    <t>Combinaisons spé (code)</t>
  </si>
  <si>
    <t>SVT+PC | SVT+Maths</t>
  </si>
  <si>
    <t>SVT+HGGSP | SVT+PC</t>
  </si>
  <si>
    <t>SVT+Maths | SVT+NSI</t>
  </si>
  <si>
    <t>SVT+* | SVT+SES | SVT+Maths</t>
  </si>
  <si>
    <t>SVT+Maths | SVT+PC</t>
  </si>
  <si>
    <t>SVT+PC | SVT+HGGSP</t>
  </si>
  <si>
    <t>SVT+* | SVT+Maths | SVT+SES</t>
  </si>
  <si>
    <t>SVT+NSI | SVT+PC | SVT+Maths</t>
  </si>
  <si>
    <t>SVT+PC | SVT+SES</t>
  </si>
  <si>
    <t>SVT+* | SVT+SES | SVT+HGGSP</t>
  </si>
  <si>
    <t>SVT+PC | SVT+Maths | SVT+HGGSP</t>
  </si>
  <si>
    <t>Entomologiste</t>
  </si>
  <si>
    <t>Étudie les insectes : biologie, comportement et rôle écologique, au service de la recherche et de l'agriculture.</t>
  </si>
  <si>
    <t>Préposé entomologique</t>
  </si>
  <si>
    <t>Élève, soigne et présente les collections d'insectes vivants d'un insectarium au public.</t>
  </si>
  <si>
    <t>Technicienne en entomologie à l'Insectarium de Montréal</t>
  </si>
  <si>
    <t>Assure l'élevage, l'entretien et la présentation des collections d'insectes vivants de l'Insectarium.</t>
  </si>
  <si>
    <t>Horticultrice au Jardin nourricier du Jardin botanique de Montréal</t>
  </si>
  <si>
    <t>Cultive et entretient le jardin nourricier (potager) du Jardin botanique de Montréal, en lien avec le public et la pédagogie horticole.</t>
  </si>
  <si>
    <t>Animatrice scientifique au Planétarium</t>
  </si>
  <si>
    <t>Anime des ateliers et présente les phénomènes astronomiques au grand public au sein d'un planétarium.</t>
  </si>
  <si>
    <t>Muséographie &amp; Muséologie scientifique</t>
  </si>
  <si>
    <t>Anime des ateliers et présente les phénomènes astronomiques au grand public au sein d'un planétarium, en animant régulièrement les expositions de muséographie.</t>
  </si>
  <si>
    <t>SVT + SES ou SVT + Maths</t>
  </si>
  <si>
    <t>SVT + Maths ou SVT + SES</t>
  </si>
  <si>
    <t>SVT + SES ou SVT + HGGSP</t>
  </si>
  <si>
    <t>Coordonnatrice d'activités en loisirs scientifiques à l'Insectarium de Montréal</t>
  </si>
  <si>
    <t>Organise et coordonne des ateliers et activités scientifiques ludiques autour des collections d'insectes de l'Insectarium.</t>
  </si>
  <si>
    <t>Conçoit et coordonne des activités pédagogiques et ludiques de médiation scientifique auprès du public.</t>
  </si>
  <si>
    <t>Horticulteur au Jardin japonais du Jardin botanique de Montréal</t>
  </si>
  <si>
    <t>Cultive et entretient les collections végétales et l'aménagement paysager du Jardin japonais du Jardin botanique de Montréal.</t>
  </si>
  <si>
    <t>Horticultrice responsable en phytoprotection</t>
  </si>
  <si>
    <t>Assure la protection phytosanitaire des collections végétales dans les serres du Jardin botanique (surveillance, prévention et lutte contre les ravageurs et maladies).</t>
  </si>
  <si>
    <t>Vétérinaire au Biodôme de Montréal</t>
  </si>
  <si>
    <t>Assure le suivi médical et les soins vétérinaires des poissons et animaux sauvages des différents écosystèmes du Biodôme de Montréal (ex. : examen d'un esturgeon noir).</t>
  </si>
  <si>
    <t>Chercheuse/conseillère scientifique au Biodôme de Montréal</t>
  </si>
  <si>
    <t>Mène des recherches en écophysiologie des poissons et conseille sur la conservation d'espèces à statut particulier (espèces pêchées, domestiques ou menacées) au sein de l'écosystème marin du Biodôme de Montréal.</t>
  </si>
  <si>
    <t>Mène des recherches en écophysiologie des poissons et conseille sur des projets d'aquaculture durable et de conservation d'espèces à statut particulier (pêchées, domestiques ou menacées).</t>
  </si>
  <si>
    <t>Communicateur scientifique au Planétarium</t>
  </si>
  <si>
    <t>Anime en direct les spectacles immersifs sous dôme du Planétarium et participe à leur conception (co-scénarisation, tournage et prises de vues à 360°).</t>
  </si>
  <si>
    <t>Ingénieur d'Étude en Entomologie Médicale</t>
  </si>
  <si>
    <t>Étudie les insectes vecteurs de maladies (moustiques, phlébotomes) : taxonomie, écologie et surveillance des arboviroses, pour la recherche en santé publique (IRD).</t>
  </si>
  <si>
    <t>Chargé de Recherche en Entomologie Médicale</t>
  </si>
  <si>
    <t>Dirige des recherches sur les moustiques vecteurs de maladies (paludisme, dengue, chikungunya) et développe des méthodes de lutte antivectorielle (ex. : technique de l'insecte stérile) au sein d'un institut de recherche (IRD).</t>
  </si>
  <si>
    <t>Ingénieure Biomatériaux chez Lattice Medical</t>
  </si>
  <si>
    <t>Conçoit et développe des biomatériaux résorbables imprimés en 3D pour la fabrication d'implants médicaux (ex. : reconstruction mammaire).</t>
  </si>
  <si>
    <t>Professeure de SVT</t>
  </si>
  <si>
    <t>Enseigne les Sciences de la Vie et de la Terre au collège ou au lycée : cours théoriques, travaux pratiques et suivi de l'orientation des élèves.</t>
  </si>
  <si>
    <t>Ingénieure Environnement chez Eiffage</t>
  </si>
  <si>
    <t>Veille au respect des normes environnementales sur les chantiers et sites d'un groupe de construction : gestion des rejets, des déchets et de l'impact écologique des activités.</t>
  </si>
  <si>
    <t>48 catégories classées alphabétiquement  •  Cliquer pour naviguer</t>
  </si>
  <si>
    <t>41 catégories renseignées  •  7 à compléter</t>
  </si>
  <si>
    <t>Mycicultrice en bio</t>
  </si>
  <si>
    <t>Cultive des champignons biologiques (shiitakes, pleurotes) en circuit court, de la production à la transformation et à la vente directe.</t>
  </si>
  <si>
    <t>Chargée de Recherche en Écotoxicologie</t>
  </si>
  <si>
    <t>Étudie l'impact des polluants chimiques (pesticides, métaux) sur la faune sauvage (petits mammifères, oiseaux) à l'aide de méthodes non létales, au CNRS.</t>
  </si>
  <si>
    <t>SVT + HGGSP, SVT + SES ou SVT + HLP</t>
  </si>
  <si>
    <t>SVT + Physique-Chimie (STAPS-santé), SVT + Maths ou SVT + HGGSP (sport &amp; territoire)</t>
  </si>
  <si>
    <t>SVT + HGGSP, SVT + LLCER ou SVT + HLP</t>
  </si>
  <si>
    <t>SVT + HGGSP, SVT + Arts ou SVT + HLP</t>
  </si>
  <si>
    <t>SVT+HGGSP | SVT+SES | SVT+HLP</t>
  </si>
  <si>
    <t>SVT+HGGSP | SVT+LLCER | SVT+HLP</t>
  </si>
  <si>
    <t>SVT+HGGSP | SVT+Arts | SVT+HLP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</si>
</sst>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41" x14ac:knownFonts="1">
    <font>
      <sz val="11"/>
      <color theme="1"/>
      <name val="Trebuchet MS"/>
      <scheme val="minor"/>
    </font>
    <font>
      <sz val="11"/>
      <color theme="1"/>
      <name val="Trebuchet MS"/>
    </font>
    <font>
      <sz val="14"/>
      <color rgb="FF929292"/>
      <name val="Trebuchet MS"/>
    </font>
    <font>
      <sz val="11"/>
      <color rgb="FF464646"/>
      <name val="Trebuchet MS"/>
    </font>
    <font>
      <sz val="12"/>
      <color rgb="FF5C5C5C"/>
      <name val="Trebuchet MS"/>
    </font>
    <font>
      <b/>
      <sz val="12"/>
      <color rgb="FF5C5C5C"/>
      <name val="Trebuchet MS"/>
    </font>
    <font>
      <sz val="14"/>
      <color rgb="FF5C5C5C"/>
      <name val="Trebuchet MS"/>
    </font>
    <font>
      <sz val="11"/>
      <color rgb="FF5C5C5C"/>
      <name val="Trebuchet MS"/>
    </font>
    <font>
      <b/>
      <sz val="18"/>
      <color rgb="FFFFFFFF"/>
      <name val="Arial"/>
    </font>
    <font>
      <i/>
      <sz val="10"/>
      <color rgb="FFFFFFFF"/>
      <name val="Arial"/>
    </font>
    <font>
      <b/>
      <sz val="13"/>
      <color rgb="FFFFFFFF"/>
      <name val="Arial"/>
    </font>
    <font>
      <b/>
      <sz val="10"/>
      <color rgb="FF1F4E79"/>
      <name val="Arial"/>
    </font>
    <font>
      <sz val="10"/>
      <color rgb="FF404040"/>
      <name val="Arial"/>
    </font>
    <font>
      <b/>
      <sz val="10"/>
      <color rgb="FFE53935"/>
      <name val="Arial"/>
    </font>
    <font>
      <i/>
      <sz val="10"/>
      <color rgb="FF888888"/>
      <name val="Arial"/>
    </font>
    <font>
      <i/>
      <sz val="10"/>
      <color rgb="FF999999"/>
      <name val="Arial"/>
    </font>
    <font>
      <i/>
      <sz val="8"/>
      <color rgb="FFAAAAAA"/>
      <name val="Arial"/>
    </font>
    <font>
      <b/>
      <sz val="20"/>
      <color rgb="FF1F4E79"/>
      <name val="Arial"/>
    </font>
    <font>
      <b/>
      <sz val="10"/>
      <color rgb="FFFFFFFF"/>
      <name val="Arial"/>
    </font>
    <font>
      <b/>
      <sz val="13"/>
      <color rgb="FFFFFFFF"/>
      <name val="Arial"/>
    </font>
    <font>
      <sz val="10"/>
      <color rgb="FFFFFFFF"/>
      <name val="Arial"/>
    </font>
    <font>
      <sz val="11"/>
      <color rgb="FF404040"/>
      <name val="Arial"/>
    </font>
    <font>
      <i/>
      <sz val="10"/>
      <color rgb="FFCCCCCC"/>
      <name val="Arial"/>
    </font>
    <font>
      <sz val="9"/>
      <color rgb="FF1A5C35"/>
      <name val="Arial"/>
    </font>
    <font>
      <sz val="9"/>
      <color rgb="FF0D6B6B"/>
      <name val="Arial"/>
    </font>
    <font>
      <sz val="9"/>
      <color rgb="FF3730A3"/>
      <name val="Arial"/>
    </font>
    <font>
      <i/>
      <u/>
      <sz val="9"/>
      <color rgb="FF2E75B6"/>
      <name val="Arial"/>
    </font>
    <font>
      <b/>
      <sz val="16"/>
      <color rgb="FFFFFFFF"/>
      <name val="Arial"/>
    </font>
    <font>
      <i/>
      <sz val="10"/>
      <color rgb="FFFFFFFF"/>
      <name val="Arial"/>
    </font>
    <font>
      <b/>
      <sz val="10"/>
      <color rgb="FF2E75B6"/>
      <name val="Arial"/>
    </font>
    <font>
      <u/>
      <sz val="10"/>
      <color rgb="FF1F4E79"/>
      <name val="Arial"/>
    </font>
    <font>
      <b/>
      <sz val="9"/>
      <color rgb="FFFFFFFF"/>
      <name val="Arial"/>
    </font>
    <font>
      <b/>
      <sz val="10"/>
      <color rgb="FFAAAAAA"/>
      <name val="Arial"/>
    </font>
    <font>
      <i/>
      <u/>
      <sz val="10"/>
      <color rgb="FFAAAAAA"/>
      <name val="Arial"/>
    </font>
    <font>
      <i/>
      <sz val="8"/>
      <color rgb="FF888888"/>
      <name val="Arial"/>
    </font>
    <font>
      <sz val="9"/>
      <color rgb="FFFFFFFF"/>
      <name val="Arial"/>
    </font>
    <font>
      <sz val="9"/>
      <color rgb="FF1A5C35"/>
      <name val="Arial"/>
    </font>
    <font>
      <i/>
      <sz val="9"/>
      <color rgb="FF3D4A5C"/>
      <name val="Arial"/>
    </font>
    <font>
      <sz val="10"/>
      <color theme="1"/>
      <name val="Arial"/>
    </font>
    <font>
      <b/>
      <sz val="11"/>
      <color rgb="FFFFFFFF"/>
      <name val="Arial"/>
    </font>
    <font>
      <u/>
      <sz val="11"/>
      <color theme="10"/>
      <name val="Trebuchet MS"/>
      <scheme val="minor"/>
    </font>
  </fonts>
  <fills count="45">
    <fill>
      <patternFill patternType="none"/>
    </fill>
    <fill>
      <patternFill patternType="gray125"/>
    </fill>
    <fill>
      <patternFill patternType="solid">
        <fgColor rgb="FFF5F9FF"/>
        <bgColor rgb="FFF5F9FF"/>
      </patternFill>
    </fill>
    <fill>
      <patternFill patternType="solid">
        <fgColor rgb="FFFFFFFF"/>
        <bgColor rgb="FFFFFFFF"/>
      </patternFill>
    </fill>
    <fill>
      <patternFill patternType="solid">
        <fgColor rgb="FF1F4E79"/>
      </patternFill>
    </fill>
    <fill>
      <patternFill patternType="solid">
        <fgColor rgb="FF2E75B6"/>
      </patternFill>
    </fill>
    <fill>
      <patternFill patternType="solid">
        <fgColor rgb="FFF0F7FF"/>
      </patternFill>
    </fill>
    <fill>
      <patternFill patternType="solid">
        <fgColor rgb="FFE8F5EE"/>
      </patternFill>
    </fill>
    <fill>
      <patternFill patternType="solid">
        <fgColor rgb="FF1A5C35"/>
      </patternFill>
    </fill>
    <fill>
      <patternFill patternType="solid">
        <fgColor rgb="FFFFFFFF"/>
      </patternFill>
    </fill>
    <fill>
      <patternFill patternType="solid">
        <fgColor rgb="FF217A46"/>
      </patternFill>
    </fill>
    <fill>
      <patternFill patternType="solid">
        <fgColor rgb="FFFFF8E1"/>
      </patternFill>
    </fill>
    <fill>
      <patternFill patternType="solid">
        <fgColor rgb="FFC55A11"/>
      </patternFill>
    </fill>
    <fill>
      <patternFill patternType="solid">
        <fgColor rgb="FFFFF8F2"/>
      </patternFill>
    </fill>
    <fill>
      <patternFill patternType="solid">
        <fgColor rgb="FFE53935"/>
      </patternFill>
    </fill>
    <fill>
      <patternFill patternType="solid">
        <fgColor rgb="FFFFF3F3"/>
      </patternFill>
    </fill>
    <fill>
      <patternFill patternType="solid">
        <fgColor rgb="FF888888"/>
      </patternFill>
    </fill>
    <fill>
      <patternFill patternType="solid">
        <fgColor rgb="FFF8F8F8"/>
      </patternFill>
    </fill>
    <fill>
      <patternFill patternType="solid">
        <fgColor rgb="FFF5F9FF"/>
      </patternFill>
    </fill>
    <fill>
      <patternFill patternType="solid">
        <fgColor rgb="FF1F4E79"/>
      </patternFill>
    </fill>
    <fill>
      <patternFill patternType="solid">
        <fgColor rgb="FF7B2D8B"/>
      </patternFill>
    </fill>
    <fill>
      <patternFill patternType="solid">
        <fgColor rgb="FFC55A11"/>
      </patternFill>
    </fill>
    <fill>
      <patternFill patternType="solid">
        <fgColor rgb="FF1A5C35"/>
      </patternFill>
    </fill>
    <fill>
      <patternFill patternType="solid">
        <fgColor rgb="FF0D6B6B"/>
      </patternFill>
    </fill>
    <fill>
      <patternFill patternType="solid">
        <fgColor rgb="FF3730A3"/>
      </patternFill>
    </fill>
    <fill>
      <patternFill patternType="solid">
        <fgColor rgb="FF2E75B6"/>
      </patternFill>
    </fill>
    <fill>
      <patternFill patternType="solid">
        <fgColor rgb="FF217A46"/>
      </patternFill>
    </fill>
    <fill>
      <patternFill patternType="solid">
        <fgColor rgb="FFF0F7FF"/>
      </patternFill>
    </fill>
    <fill>
      <patternFill patternType="solid">
        <fgColor rgb="FFE8F5EE"/>
      </patternFill>
    </fill>
    <fill>
      <patternFill patternType="solid">
        <fgColor rgb="FFE0F4F4"/>
      </patternFill>
    </fill>
    <fill>
      <patternFill patternType="solid">
        <fgColor rgb="FFEEF2FF"/>
      </patternFill>
    </fill>
    <fill>
      <patternFill patternType="solid">
        <fgColor rgb="FFFFFFFF"/>
      </patternFill>
    </fill>
    <fill>
      <patternFill patternType="solid">
        <fgColor rgb="FFEBF3FB"/>
      </patternFill>
    </fill>
    <fill>
      <patternFill patternType="solid">
        <fgColor rgb="FFAAAAAA"/>
      </patternFill>
    </fill>
    <fill>
      <patternFill patternType="solid">
        <fgColor rgb="FF356859"/>
      </patternFill>
    </fill>
    <fill>
      <patternFill patternType="solid">
        <fgColor rgb="FFEAF2EE"/>
      </patternFill>
    </fill>
    <fill>
      <patternFill patternType="solid">
        <fgColor rgb="FF1F4E79"/>
        <bgColor indexed="64"/>
      </patternFill>
    </fill>
    <fill>
      <patternFill patternType="solid">
        <fgColor rgb="FFD9E1F2"/>
        <bgColor indexed="64"/>
      </patternFill>
    </fill>
    <fill>
      <patternFill patternType="solid">
        <fgColor rgb="FFFFFFFF"/>
        <bgColor indexed="64"/>
      </patternFill>
    </fill>
    <fill>
      <patternFill patternType="solid">
        <fgColor rgb="FFF2F2F2"/>
        <bgColor indexed="64"/>
      </patternFill>
    </fill>
    <fill>
      <patternFill patternType="solid">
        <fgColor rgb="FF2E75B6"/>
        <bgColor indexed="64"/>
      </patternFill>
    </fill>
    <fill>
      <patternFill patternType="solid">
        <fgColor rgb="FF7B2D8B"/>
        <bgColor indexed="64"/>
      </patternFill>
    </fill>
    <fill>
      <patternFill patternType="solid">
        <fgColor rgb="FFC55A11"/>
        <bgColor indexed="64"/>
      </patternFill>
    </fill>
    <fill>
      <patternFill patternType="solid">
        <fgColor rgb="FFEBF3FB"/>
        <bgColor indexed="64"/>
      </patternFill>
    </fill>
    <fill>
      <patternFill patternType="solid">
        <fgColor rgb="FFAAAAAA"/>
        <bgColor indexed="64"/>
      </patternFill>
    </fill>
  </fills>
  <borders count="13">
    <border>
      <left/>
      <right/>
      <top/>
      <bottom/>
      <diagonal/>
    </border>
    <border>
      <left/>
      <right/>
      <top/>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1F4E79"/>
      </left>
      <right style="thin">
        <color rgb="FF1F4E79"/>
      </right>
      <top style="thin">
        <color rgb="FF1F4E79"/>
      </top>
      <bottom style="thin">
        <color rgb="FF1F4E79"/>
      </bottom>
      <diagonal/>
    </border>
    <border>
      <left/>
      <right/>
      <top/>
      <bottom style="medium">
        <color rgb="FF1F4E79"/>
      </bottom>
      <diagonal/>
    </border>
    <border>
      <left style="thin">
        <color rgb="FFBDD7EE"/>
      </left>
      <right style="thin">
        <color rgb="FFBDD7EE"/>
      </right>
      <top style="thin">
        <color rgb="FFBDD7EE"/>
      </top>
      <bottom style="thin">
        <color rgb="FFBDD7EE"/>
      </bottom>
      <diagonal/>
    </border>
    <border>
      <left style="thin">
        <color rgb="FFDDDDDD"/>
      </left>
      <right style="thin">
        <color rgb="FFDDDDDD"/>
      </right>
      <top style="thin">
        <color rgb="FFDDDDDD"/>
      </top>
      <bottom style="thin">
        <color rgb="FFDDDDDD"/>
      </bottom>
      <diagonal/>
    </border>
    <border>
      <left style="thin">
        <color rgb="FFA8D5B5"/>
      </left>
      <right style="thin">
        <color rgb="FFA8D5B5"/>
      </right>
      <top style="thin">
        <color rgb="FFA8D5B5"/>
      </top>
      <bottom style="thin">
        <color rgb="FFA8D5B5"/>
      </bottom>
      <diagonal/>
    </border>
    <border>
      <left style="thin">
        <color rgb="FF9FD5D5"/>
      </left>
      <right style="thin">
        <color rgb="FF9FD5D5"/>
      </right>
      <top style="thin">
        <color rgb="FF9FD5D5"/>
      </top>
      <bottom style="thin">
        <color rgb="FF9FD5D5"/>
      </bottom>
      <diagonal/>
    </border>
    <border>
      <left style="thin">
        <color rgb="FFC7D2F0"/>
      </left>
      <right style="thin">
        <color rgb="FFC7D2F0"/>
      </right>
      <top style="thin">
        <color rgb="FFC7D2F0"/>
      </top>
      <bottom style="thin">
        <color rgb="FFC7D2F0"/>
      </bottom>
      <diagonal/>
    </border>
    <border>
      <left/>
      <right/>
      <top/>
      <bottom/>
      <diagonal/>
    </border>
    <border>
      <left/>
      <right/>
      <top style="medium">
        <color rgb="FF1F4E79"/>
      </top>
      <bottom/>
      <diagonal/>
    </border>
  </borders>
  <cellStyleXfs count="2">
    <xf numFmtId="0" fontId="0" fillId="0" borderId="11"/>
    <xf numFmtId="0" fontId="40" fillId="0" borderId="11" applyNumberFormat="0" applyFill="0" applyBorder="0" applyAlignment="0" applyProtection="0"/>
  </cellStyleXfs>
  <cellXfs count="105">
    <xf numFmtId="0" fontId="0" fillId="0" borderId="0" xfId="0" applyBorder="1"/>
    <xf numFmtId="0" fontId="1" fillId="0" borderId="0" xfId="0" applyFont="1" applyBorder="1" applyAlignment="1">
      <alignment vertical="center"/>
    </xf>
    <xf numFmtId="0" fontId="2" fillId="0" borderId="0" xfId="0" applyFont="1" applyBorder="1" applyAlignment="1">
      <alignment horizontal="center" vertical="center"/>
    </xf>
    <xf numFmtId="0" fontId="3" fillId="0" borderId="0" xfId="0" applyFont="1" applyBorder="1" applyAlignment="1">
      <alignment horizontal="center" vertical="center" wrapText="1"/>
    </xf>
    <xf numFmtId="0" fontId="3" fillId="3" borderId="0" xfId="0" applyFont="1" applyFill="1" applyBorder="1" applyAlignment="1">
      <alignment horizontal="center" vertical="center" wrapText="1"/>
    </xf>
    <xf numFmtId="0" fontId="5" fillId="3" borderId="0" xfId="0" applyFont="1" applyFill="1" applyBorder="1" applyAlignment="1">
      <alignment horizontal="right" vertical="center"/>
    </xf>
    <xf numFmtId="0" fontId="4" fillId="3" borderId="0" xfId="0" applyFont="1" applyFill="1" applyBorder="1" applyAlignment="1">
      <alignment horizontal="left" vertical="center"/>
    </xf>
    <xf numFmtId="0" fontId="6"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6" fillId="0" borderId="0" xfId="0" applyNumberFormat="1" applyFont="1" applyBorder="1" applyAlignment="1">
      <alignment horizontal="left" vertical="center"/>
    </xf>
    <xf numFmtId="0" fontId="3" fillId="0" borderId="0" xfId="0" applyFont="1" applyBorder="1" applyAlignment="1">
      <alignment horizontal="left" vertical="center" wrapText="1"/>
    </xf>
    <xf numFmtId="0" fontId="1" fillId="0" borderId="0" xfId="0" applyFont="1" applyBorder="1"/>
    <xf numFmtId="0" fontId="11" fillId="6" borderId="2" xfId="0" applyFont="1" applyFill="1" applyBorder="1" applyAlignment="1">
      <alignment horizontal="left" vertical="top" wrapText="1" indent="1"/>
    </xf>
    <xf numFmtId="0" fontId="12" fillId="6" borderId="2" xfId="0" applyFont="1" applyFill="1" applyBorder="1" applyAlignment="1">
      <alignment horizontal="left" vertical="top" wrapText="1" indent="1"/>
    </xf>
    <xf numFmtId="0" fontId="11" fillId="7" borderId="2" xfId="0" applyFont="1" applyFill="1" applyBorder="1" applyAlignment="1">
      <alignment horizontal="left" vertical="top" wrapText="1" indent="1"/>
    </xf>
    <xf numFmtId="0" fontId="12" fillId="7" borderId="2" xfId="0" applyFont="1" applyFill="1" applyBorder="1" applyAlignment="1">
      <alignment horizontal="left" vertical="top" wrapText="1" indent="1"/>
    </xf>
    <xf numFmtId="0" fontId="11" fillId="9" borderId="2" xfId="0" applyFont="1" applyFill="1" applyBorder="1" applyAlignment="1">
      <alignment horizontal="left" vertical="top" wrapText="1" indent="1"/>
    </xf>
    <xf numFmtId="0" fontId="12" fillId="9" borderId="2" xfId="0" applyFont="1" applyFill="1" applyBorder="1" applyAlignment="1">
      <alignment horizontal="left" vertical="top" wrapText="1" indent="1"/>
    </xf>
    <xf numFmtId="0" fontId="11" fillId="11" borderId="2" xfId="0" applyFont="1" applyFill="1" applyBorder="1" applyAlignment="1">
      <alignment horizontal="left" vertical="top" wrapText="1" indent="1"/>
    </xf>
    <xf numFmtId="0" fontId="12" fillId="11" borderId="2" xfId="0" applyFont="1" applyFill="1" applyBorder="1" applyAlignment="1">
      <alignment horizontal="left" vertical="top" wrapText="1" indent="1"/>
    </xf>
    <xf numFmtId="0" fontId="11" fillId="13" borderId="2" xfId="0" applyFont="1" applyFill="1" applyBorder="1" applyAlignment="1">
      <alignment horizontal="left" vertical="top" wrapText="1" indent="1"/>
    </xf>
    <xf numFmtId="0" fontId="12" fillId="13" borderId="2" xfId="0" applyFont="1" applyFill="1" applyBorder="1" applyAlignment="1">
      <alignment horizontal="left" vertical="top" wrapText="1" indent="1"/>
    </xf>
    <xf numFmtId="0" fontId="13" fillId="15" borderId="2" xfId="0" applyFont="1" applyFill="1" applyBorder="1" applyAlignment="1">
      <alignment horizontal="left" vertical="top" wrapText="1" indent="1"/>
    </xf>
    <xf numFmtId="0" fontId="12" fillId="15" borderId="2" xfId="0" applyFont="1" applyFill="1" applyBorder="1" applyAlignment="1">
      <alignment horizontal="left" vertical="top" wrapText="1" indent="1"/>
    </xf>
    <xf numFmtId="0" fontId="0" fillId="0" borderId="1" xfId="0" applyBorder="1"/>
    <xf numFmtId="0" fontId="18" fillId="25" borderId="6" xfId="0" applyFont="1" applyFill="1" applyBorder="1" applyAlignment="1">
      <alignment horizontal="center" vertical="center"/>
    </xf>
    <xf numFmtId="0" fontId="18" fillId="25" borderId="6" xfId="0" applyFont="1" applyFill="1" applyBorder="1" applyAlignment="1">
      <alignment horizontal="left" vertical="center" indent="1"/>
    </xf>
    <xf numFmtId="0" fontId="29" fillId="32" borderId="6" xfId="0" applyFont="1" applyFill="1" applyBorder="1" applyAlignment="1">
      <alignment horizontal="center" vertical="center"/>
    </xf>
    <xf numFmtId="0" fontId="30" fillId="32" borderId="6" xfId="0" applyFont="1" applyFill="1" applyBorder="1" applyAlignment="1">
      <alignment horizontal="left" vertical="center" indent="1"/>
    </xf>
    <xf numFmtId="0" fontId="31" fillId="25" borderId="6" xfId="0" applyFont="1" applyFill="1" applyBorder="1" applyAlignment="1">
      <alignment horizontal="center" vertical="center"/>
    </xf>
    <xf numFmtId="0" fontId="29" fillId="31" borderId="6" xfId="0" applyFont="1" applyFill="1" applyBorder="1" applyAlignment="1">
      <alignment horizontal="center" vertical="center"/>
    </xf>
    <xf numFmtId="0" fontId="30" fillId="31" borderId="6" xfId="0" applyFont="1" applyFill="1" applyBorder="1" applyAlignment="1">
      <alignment horizontal="left" vertical="center" indent="1"/>
    </xf>
    <xf numFmtId="0" fontId="32" fillId="31" borderId="6" xfId="0" applyFont="1" applyFill="1" applyBorder="1" applyAlignment="1">
      <alignment horizontal="center" vertical="center"/>
    </xf>
    <xf numFmtId="0" fontId="33" fillId="31" borderId="6" xfId="0" applyFont="1" applyFill="1" applyBorder="1" applyAlignment="1">
      <alignment horizontal="left" vertical="center" indent="1"/>
    </xf>
    <xf numFmtId="0" fontId="31" fillId="33" borderId="6" xfId="0" applyFont="1" applyFill="1" applyBorder="1" applyAlignment="1">
      <alignment horizontal="center" vertical="center"/>
    </xf>
    <xf numFmtId="0" fontId="32" fillId="32" borderId="6" xfId="0" applyFont="1" applyFill="1" applyBorder="1" applyAlignment="1">
      <alignment horizontal="center" vertical="center"/>
    </xf>
    <xf numFmtId="0" fontId="33" fillId="32" borderId="6" xfId="0" applyFont="1" applyFill="1" applyBorder="1" applyAlignment="1">
      <alignment horizontal="left" vertical="center" indent="1"/>
    </xf>
    <xf numFmtId="0" fontId="26" fillId="2" borderId="0" xfId="0" applyFont="1" applyFill="1" applyBorder="1" applyAlignment="1">
      <alignment horizontal="left" vertical="center"/>
    </xf>
    <xf numFmtId="0" fontId="18" fillId="19" borderId="4" xfId="0" applyFont="1" applyFill="1" applyBorder="1" applyAlignment="1">
      <alignment horizontal="center" vertical="center" wrapText="1"/>
    </xf>
    <xf numFmtId="0" fontId="18" fillId="20" borderId="4" xfId="0" applyFont="1" applyFill="1" applyBorder="1" applyAlignment="1">
      <alignment horizontal="center" vertical="center" wrapText="1"/>
    </xf>
    <xf numFmtId="49" fontId="18" fillId="21" borderId="4" xfId="0" applyNumberFormat="1" applyFont="1" applyFill="1" applyBorder="1" applyAlignment="1">
      <alignment horizontal="center" vertical="center" wrapText="1"/>
    </xf>
    <xf numFmtId="49" fontId="18" fillId="22" borderId="4" xfId="0" applyNumberFormat="1" applyFont="1" applyFill="1" applyBorder="1" applyAlignment="1">
      <alignment horizontal="center" vertical="center" wrapText="1"/>
    </xf>
    <xf numFmtId="49" fontId="18" fillId="23" borderId="4" xfId="0" applyNumberFormat="1" applyFont="1" applyFill="1" applyBorder="1" applyAlignment="1">
      <alignment horizontal="center" vertical="center" wrapText="1"/>
    </xf>
    <xf numFmtId="0" fontId="18" fillId="24" borderId="4" xfId="0" applyFont="1" applyFill="1" applyBorder="1" applyAlignment="1">
      <alignment horizontal="center" vertical="center" wrapText="1"/>
    </xf>
    <xf numFmtId="0" fontId="0" fillId="25" borderId="5" xfId="0" applyFill="1" applyBorder="1"/>
    <xf numFmtId="0" fontId="19" fillId="25" borderId="5" xfId="0" applyFont="1" applyFill="1" applyBorder="1" applyAlignment="1">
      <alignment horizontal="left" vertical="center" indent="1"/>
    </xf>
    <xf numFmtId="0" fontId="20" fillId="26" borderId="5" xfId="0" applyFont="1" applyFill="1" applyBorder="1" applyAlignment="1">
      <alignment horizontal="left" vertical="center" wrapText="1" indent="1"/>
    </xf>
    <xf numFmtId="0" fontId="20" fillId="23" borderId="5" xfId="0" applyFont="1" applyFill="1" applyBorder="1" applyAlignment="1">
      <alignment horizontal="left" vertical="center" wrapText="1" indent="1"/>
    </xf>
    <xf numFmtId="0" fontId="21" fillId="27" borderId="6" xfId="0" applyFont="1" applyFill="1" applyBorder="1" applyAlignment="1">
      <alignment horizontal="left" vertical="center" indent="2"/>
    </xf>
    <xf numFmtId="0" fontId="18" fillId="20" borderId="6" xfId="0" applyFont="1" applyFill="1" applyBorder="1" applyAlignment="1">
      <alignment horizontal="center" vertical="center"/>
    </xf>
    <xf numFmtId="0" fontId="22" fillId="27" borderId="7" xfId="0" applyFont="1" applyFill="1" applyBorder="1"/>
    <xf numFmtId="0" fontId="23" fillId="28" borderId="8" xfId="0" applyFont="1" applyFill="1" applyBorder="1" applyAlignment="1">
      <alignment horizontal="left" vertical="center" wrapText="1" indent="2"/>
    </xf>
    <xf numFmtId="0" fontId="24" fillId="29" borderId="9" xfId="0" applyFont="1" applyFill="1" applyBorder="1" applyAlignment="1">
      <alignment horizontal="left" vertical="center" wrapText="1" indent="2"/>
    </xf>
    <xf numFmtId="0" fontId="25" fillId="30" borderId="10" xfId="0" applyFont="1" applyFill="1" applyBorder="1" applyAlignment="1">
      <alignment horizontal="left" vertical="center" wrapText="1" indent="2"/>
    </xf>
    <xf numFmtId="0" fontId="18" fillId="21" borderId="6" xfId="0" applyFont="1" applyFill="1" applyBorder="1" applyAlignment="1">
      <alignment horizontal="center" vertical="center"/>
    </xf>
    <xf numFmtId="0" fontId="35" fillId="34" borderId="0" xfId="0" applyFont="1" applyFill="1" applyBorder="1" applyAlignment="1">
      <alignment horizontal="left" vertical="center" wrapText="1"/>
    </xf>
    <xf numFmtId="0" fontId="36" fillId="35" borderId="0" xfId="0" applyFont="1" applyFill="1" applyBorder="1" applyAlignment="1">
      <alignment horizontal="left" vertical="center" wrapText="1"/>
    </xf>
    <xf numFmtId="0" fontId="39" fillId="36" borderId="0" xfId="0" applyFont="1" applyFill="1" applyBorder="1" applyAlignment="1">
      <alignment vertical="center"/>
    </xf>
    <xf numFmtId="0" fontId="11" fillId="37" borderId="11" xfId="0" applyFont="1" applyFill="1" applyAlignment="1">
      <alignment vertical="center"/>
    </xf>
    <xf numFmtId="0" fontId="38" fillId="38" borderId="11" xfId="0" applyFont="1" applyFill="1" applyAlignment="1">
      <alignment vertical="center"/>
    </xf>
    <xf numFmtId="0" fontId="11" fillId="37" borderId="12" xfId="0" applyFont="1" applyFill="1" applyBorder="1" applyAlignment="1">
      <alignment vertical="center"/>
    </xf>
    <xf numFmtId="0" fontId="38" fillId="38" borderId="12" xfId="0" applyFont="1" applyFill="1" applyBorder="1" applyAlignment="1">
      <alignment vertical="center"/>
    </xf>
    <xf numFmtId="0" fontId="38" fillId="39" borderId="11" xfId="0" applyFont="1" applyFill="1" applyAlignment="1">
      <alignment vertical="center"/>
    </xf>
    <xf numFmtId="0" fontId="38" fillId="39" borderId="12" xfId="0" applyFont="1" applyFill="1" applyBorder="1" applyAlignment="1">
      <alignment vertical="center"/>
    </xf>
    <xf numFmtId="0" fontId="0" fillId="0" borderId="11" xfId="0"/>
    <xf numFmtId="0" fontId="36" fillId="35" borderId="11" xfId="0" applyFont="1" applyFill="1" applyAlignment="1">
      <alignment horizontal="left" vertical="center" wrapText="1"/>
    </xf>
    <xf numFmtId="0" fontId="40" fillId="20" borderId="6" xfId="1" applyFill="1" applyBorder="1" applyAlignment="1">
      <alignment horizontal="center" vertical="center"/>
    </xf>
    <xf numFmtId="0" fontId="30" fillId="38" borderId="6" xfId="0" applyFont="1" applyFill="1" applyBorder="1" applyAlignment="1">
      <alignment horizontal="left" vertical="center" indent="1"/>
    </xf>
    <xf numFmtId="0" fontId="31" fillId="40" borderId="6" xfId="0" applyFont="1" applyFill="1" applyBorder="1" applyAlignment="1">
      <alignment horizontal="center" vertical="center"/>
    </xf>
    <xf numFmtId="0" fontId="29" fillId="38" borderId="6" xfId="0" applyFont="1" applyFill="1" applyBorder="1" applyAlignment="1">
      <alignment horizontal="center" vertical="center"/>
    </xf>
    <xf numFmtId="0" fontId="21" fillId="27" borderId="11" xfId="0" applyFont="1" applyFill="1" applyAlignment="1">
      <alignment horizontal="left" vertical="center" indent="2"/>
    </xf>
    <xf numFmtId="0" fontId="22" fillId="27" borderId="11" xfId="0" applyFont="1" applyFill="1"/>
    <xf numFmtId="0" fontId="23" fillId="28" borderId="11" xfId="0" applyFont="1" applyFill="1" applyAlignment="1">
      <alignment horizontal="left" vertical="center" wrapText="1" indent="2"/>
    </xf>
    <xf numFmtId="0" fontId="24" fillId="29" borderId="11" xfId="0" applyFont="1" applyFill="1" applyAlignment="1">
      <alignment horizontal="left" vertical="center" wrapText="1" indent="2"/>
    </xf>
    <xf numFmtId="0" fontId="25" fillId="30" borderId="11" xfId="0" applyFont="1" applyFill="1" applyAlignment="1">
      <alignment horizontal="left" vertical="center" wrapText="1" indent="2"/>
    </xf>
    <xf numFmtId="0" fontId="18" fillId="41" borderId="6" xfId="1" applyFont="1" applyFill="1" applyBorder="1" applyAlignment="1">
      <alignment horizontal="center" vertical="center"/>
    </xf>
    <xf numFmtId="0" fontId="18" fillId="41" borderId="11" xfId="1" applyFont="1" applyFill="1" applyBorder="1" applyAlignment="1">
      <alignment horizontal="center" vertical="center"/>
    </xf>
    <xf numFmtId="0" fontId="40" fillId="41" borderId="6" xfId="1" applyFill="1" applyBorder="1" applyAlignment="1">
      <alignment horizontal="center" vertical="center"/>
    </xf>
    <xf numFmtId="0" fontId="18" fillId="42" borderId="6" xfId="1" applyFont="1" applyFill="1" applyBorder="1" applyAlignment="1">
      <alignment horizontal="center" vertical="center"/>
    </xf>
    <xf numFmtId="0" fontId="30" fillId="38" borderId="6" xfId="1" applyFont="1" applyFill="1" applyBorder="1" applyAlignment="1">
      <alignment horizontal="left" vertical="center" indent="1"/>
    </xf>
    <xf numFmtId="0" fontId="31" fillId="40" borderId="6" xfId="1" applyFont="1" applyFill="1" applyBorder="1" applyAlignment="1">
      <alignment horizontal="center" vertical="center"/>
    </xf>
    <xf numFmtId="0" fontId="29" fillId="43" borderId="6" xfId="0" applyFont="1" applyFill="1" applyBorder="1" applyAlignment="1">
      <alignment horizontal="center" vertical="center"/>
    </xf>
    <xf numFmtId="0" fontId="30" fillId="43" borderId="6" xfId="1" applyFont="1" applyFill="1" applyBorder="1" applyAlignment="1">
      <alignment horizontal="left" vertical="center" indent="1"/>
    </xf>
    <xf numFmtId="0" fontId="33" fillId="38" borderId="6" xfId="1" applyFont="1" applyFill="1" applyBorder="1" applyAlignment="1">
      <alignment horizontal="left" vertical="center" indent="1"/>
    </xf>
    <xf numFmtId="0" fontId="31" fillId="44" borderId="6" xfId="1" applyFont="1" applyFill="1" applyBorder="1" applyAlignment="1">
      <alignment horizontal="center" vertical="center"/>
    </xf>
    <xf numFmtId="0" fontId="33" fillId="43" borderId="6" xfId="1" applyFont="1" applyFill="1" applyBorder="1" applyAlignment="1">
      <alignment horizontal="left" vertical="center" indent="1"/>
    </xf>
    <xf numFmtId="0" fontId="17" fillId="18" borderId="11" xfId="0" applyFont="1" applyFill="1" applyAlignment="1">
      <alignment horizontal="left" vertical="center" indent="1"/>
    </xf>
    <xf numFmtId="0" fontId="0" fillId="0" borderId="0" xfId="0" applyBorder="1"/>
    <xf numFmtId="0" fontId="37" fillId="0" borderId="0" xfId="0" applyFont="1" applyBorder="1" applyAlignment="1">
      <alignment horizontal="left" vertical="center" wrapText="1"/>
    </xf>
    <xf numFmtId="0" fontId="28" fillId="25" borderId="11" xfId="0" applyFont="1" applyFill="1" applyAlignment="1">
      <alignment horizontal="center" vertical="center"/>
    </xf>
    <xf numFmtId="0" fontId="27" fillId="19" borderId="11" xfId="0" applyFont="1" applyFill="1" applyAlignment="1">
      <alignment horizontal="center" vertical="center"/>
    </xf>
    <xf numFmtId="0" fontId="34" fillId="0" borderId="11" xfId="0" applyFont="1" applyAlignment="1">
      <alignment horizontal="center"/>
    </xf>
    <xf numFmtId="0" fontId="16" fillId="0" borderId="11" xfId="0" applyFont="1" applyAlignment="1">
      <alignment horizontal="center"/>
    </xf>
    <xf numFmtId="0" fontId="10" fillId="12" borderId="11" xfId="0" applyFont="1" applyFill="1" applyAlignment="1">
      <alignment horizontal="left" vertical="center" indent="1"/>
    </xf>
    <xf numFmtId="0" fontId="9" fillId="5" borderId="11" xfId="0" applyFont="1" applyFill="1" applyAlignment="1">
      <alignment horizontal="left" vertical="center" indent="1"/>
    </xf>
    <xf numFmtId="0" fontId="15" fillId="17" borderId="7" xfId="0" applyFont="1" applyFill="1" applyBorder="1" applyAlignment="1">
      <alignment horizontal="left" vertical="center" wrapText="1" indent="1"/>
    </xf>
    <xf numFmtId="0" fontId="0" fillId="0" borderId="3" xfId="0" applyBorder="1"/>
    <xf numFmtId="0" fontId="10" fillId="10" borderId="11" xfId="0" applyFont="1" applyFill="1" applyAlignment="1">
      <alignment horizontal="left" vertical="center" indent="1"/>
    </xf>
    <xf numFmtId="0" fontId="8" fillId="4" borderId="11" xfId="0" applyFont="1" applyFill="1" applyAlignment="1">
      <alignment horizontal="left" vertical="center" indent="1"/>
    </xf>
    <xf numFmtId="0" fontId="14" fillId="17" borderId="7" xfId="0" applyFont="1" applyFill="1" applyBorder="1" applyAlignment="1">
      <alignment horizontal="left" vertical="center" wrapText="1" indent="1"/>
    </xf>
    <xf numFmtId="0" fontId="10" fillId="5" borderId="11" xfId="0" applyFont="1" applyFill="1" applyAlignment="1">
      <alignment horizontal="left" vertical="center" indent="1"/>
    </xf>
    <xf numFmtId="0" fontId="10" fillId="14" borderId="11" xfId="0" applyFont="1" applyFill="1" applyAlignment="1">
      <alignment horizontal="left" vertical="center" indent="1"/>
    </xf>
    <xf numFmtId="0" fontId="10" fillId="8" borderId="11" xfId="0" applyFont="1" applyFill="1" applyAlignment="1">
      <alignment horizontal="left" vertical="center" indent="1"/>
    </xf>
    <xf numFmtId="0" fontId="10" fillId="4" borderId="11" xfId="0" applyFont="1" applyFill="1" applyAlignment="1">
      <alignment horizontal="left" vertical="center" indent="1"/>
    </xf>
    <xf numFmtId="0" fontId="10" fillId="16" borderId="11" xfId="0" applyFont="1" applyFill="1" applyAlignment="1">
      <alignment horizontal="left" vertical="center" indent="1"/>
    </xf>
  </cellXfs>
  <cellStyles count="2">
    <cellStyle name="Lien hypertexte" xfId="1" builtinId="8"/>
    <cellStyle name="Normal" xfId="0" builtinId="0"/>
  </cellStyles>
  <dxfs count="4">
    <dxf>
      <font>
        <sz val="10"/>
        <name val="Arial"/>
      </font>
      <alignment vertical="center"/>
    </dxf>
    <dxf>
      <font>
        <sz val="10"/>
        <name val="Arial"/>
      </font>
      <alignment vertical="center"/>
    </dxf>
    <dxf>
      <font>
        <sz val="10"/>
        <name val="Arial"/>
      </font>
      <alignment vertical="center"/>
    </dxf>
    <dxf>
      <font>
        <b/>
        <sz val="11"/>
        <color rgb="FFFFFFFF"/>
        <name val="Arial"/>
      </font>
      <fill>
        <patternFill patternType="solid">
          <fgColor indexed="64"/>
          <bgColor rgb="FF1F4E79"/>
        </patternFill>
      </fill>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9</xdr:colOff>
      <xdr:row>1</xdr:row>
      <xdr:rowOff>0</xdr:rowOff>
    </xdr:from>
    <xdr:to>
      <xdr:col>6</xdr:col>
      <xdr:colOff>990409</xdr:colOff>
      <xdr:row>2</xdr:row>
      <xdr:rowOff>66858</xdr:rowOff>
    </xdr:to>
    <xdr:pic>
      <xdr:nvPicPr>
        <xdr:cNvPr id="2" name="Picture 1" descr="Creative commons licenses – Wild Pedagogies">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296080" y="244929"/>
          <a:ext cx="2060829" cy="720000"/>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63FBA-78D1-4D9F-AB11-C2C420A877E5}" name="TblRegroupements" displayName="TblRegroupements" ref="A1:B48" totalsRowShown="0" headerRowDxfId="3" dataDxfId="2">
  <autoFilter ref="A1:B48" xr:uid="{EBE63FBA-78D1-4D9F-AB11-C2C420A877E5}"/>
  <tableColumns count="2">
    <tableColumn id="1" xr3:uid="{CECD40AD-E361-481D-B5A9-2542210A2233}" name="Grand domaine" dataDxfId="1"/>
    <tableColumn id="2" xr3:uid="{CAA0E158-4036-4B15-94B9-FF1964694DEC}" name="Catégorie" dataDxfId="0"/>
  </tableColumns>
  <tableStyleInfo name="TableStyleMedium2" showFirstColumn="0" showLastColumn="0" showRowStripes="0" showColumnStripes="0"/>
</table>
</file>

<file path=xl/theme/theme1.xml><?xml version="1.0" encoding="utf-8"?>
<a:theme xmlns:a="http://schemas.openxmlformats.org/drawingml/2006/main" name="Sheets">
  <a:themeElements>
    <a:clrScheme name="Sheets">
      <a:dk1>
        <a:srgbClr val="262626"/>
      </a:dk1>
      <a:lt1>
        <a:srgbClr val="FFFFFF"/>
      </a:lt1>
      <a:dk2>
        <a:srgbClr val="262626"/>
      </a:dk2>
      <a:lt2>
        <a:srgbClr val="FFFFFF"/>
      </a:lt2>
      <a:accent1>
        <a:srgbClr val="A04B9D"/>
      </a:accent1>
      <a:accent2>
        <a:srgbClr val="E77A17"/>
      </a:accent2>
      <a:accent3>
        <a:srgbClr val="FFB600"/>
      </a:accent3>
      <a:accent4>
        <a:srgbClr val="2F85E3"/>
      </a:accent4>
      <a:accent5>
        <a:srgbClr val="EC3C70"/>
      </a:accent5>
      <a:accent6>
        <a:srgbClr val="69BE51"/>
      </a:accent6>
      <a:hlink>
        <a:srgbClr val="0563C1"/>
      </a:hlink>
      <a:folHlink>
        <a:srgbClr val="0563C1"/>
      </a:folHlink>
    </a:clrScheme>
    <a:fontScheme name="Sheets">
      <a:majorFont>
        <a:latin typeface="Trebuchet MS"/>
        <a:ea typeface="Trebuchet MS"/>
        <a:cs typeface="Trebuchet MS"/>
      </a:majorFont>
      <a:minorFont>
        <a:latin typeface="Trebuchet MS"/>
        <a:ea typeface="Trebuchet MS"/>
        <a:cs typeface="Trebuchet M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B52327-EB74-4E83-BBEE-99CE9DA5031C}">
  <we:reference id="wa200009404" version="1.0.0.8" store="fr-FR" storeType="OMEX"/>
  <we:alternateReferences>
    <we:reference id="wa200009404" version="1.0.0.8" store="wa200009404" storeType="OMEX"/>
  </we:alternateReferences>
  <we:properties>
    <we:property name="claude.fileId" value="&quot;dc266965-c433-44e8-940c-607453443c45&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17" Type="http://schemas.openxmlformats.org/officeDocument/2006/relationships/hyperlink" Target="https://www.youtube.com/watch?v=OiueMCEC9Qk" TargetMode="External"/><Relationship Id="rId299" Type="http://schemas.openxmlformats.org/officeDocument/2006/relationships/hyperlink" Target="https://www.youtube.com/watch?v=fBl3AI-qq6c" TargetMode="External"/><Relationship Id="rId21" Type="http://schemas.openxmlformats.org/officeDocument/2006/relationships/hyperlink" Target="https://www.youtube.com/watch?v=7m77qdUN44o" TargetMode="External"/><Relationship Id="rId63" Type="http://schemas.openxmlformats.org/officeDocument/2006/relationships/hyperlink" Target="https://www.youtube.com/watch?v=Ous7QrDkgcc" TargetMode="External"/><Relationship Id="rId159" Type="http://schemas.openxmlformats.org/officeDocument/2006/relationships/hyperlink" Target="https://www.youtube.com/watch?v=c-71oOln4qo" TargetMode="External"/><Relationship Id="rId170" Type="http://schemas.openxmlformats.org/officeDocument/2006/relationships/hyperlink" Target="https://www.youtube.com/watch?v=CkJ3eVtrlos" TargetMode="External"/><Relationship Id="rId226" Type="http://schemas.openxmlformats.org/officeDocument/2006/relationships/hyperlink" Target="https://www.youtube.com/watch?v=RxhcvsZ4t9U" TargetMode="External"/><Relationship Id="rId268" Type="http://schemas.openxmlformats.org/officeDocument/2006/relationships/hyperlink" Target="https://www.youtube.com/watch?v=WB3XoHaqJLg" TargetMode="External"/><Relationship Id="rId32" Type="http://schemas.openxmlformats.org/officeDocument/2006/relationships/hyperlink" Target="https://www.youtube.com/watch?v=9QDJDaZXR0M" TargetMode="External"/><Relationship Id="rId74" Type="http://schemas.openxmlformats.org/officeDocument/2006/relationships/hyperlink" Target="https://www.youtube.com/watch?v=hj6Uc78PUeM" TargetMode="External"/><Relationship Id="rId128" Type="http://schemas.openxmlformats.org/officeDocument/2006/relationships/hyperlink" Target="https://www.youtube.com/watch?v=8iFQXTZl11E" TargetMode="External"/><Relationship Id="rId5" Type="http://schemas.openxmlformats.org/officeDocument/2006/relationships/hyperlink" Target="https://www.youtube.com/watch?v=Cbo7pvQwJs8" TargetMode="External"/><Relationship Id="rId181" Type="http://schemas.openxmlformats.org/officeDocument/2006/relationships/hyperlink" Target="https://www.youtube.com/watch?v=qK9I_DXL9XI" TargetMode="External"/><Relationship Id="rId237" Type="http://schemas.openxmlformats.org/officeDocument/2006/relationships/hyperlink" Target="https://www.youtube.com/watch?v=zO361SZf8WU" TargetMode="External"/><Relationship Id="rId279" Type="http://schemas.openxmlformats.org/officeDocument/2006/relationships/hyperlink" Target="https://www.youtube.com/watch?v=hohOJPG7ndM" TargetMode="External"/><Relationship Id="rId43" Type="http://schemas.openxmlformats.org/officeDocument/2006/relationships/hyperlink" Target="https://www.youtube.com/watch?v=VPUewvROI5g" TargetMode="External"/><Relationship Id="rId139" Type="http://schemas.openxmlformats.org/officeDocument/2006/relationships/hyperlink" Target="https://www.youtube.com/watch?v=d5VL5D9X0sU" TargetMode="External"/><Relationship Id="rId290" Type="http://schemas.openxmlformats.org/officeDocument/2006/relationships/hyperlink" Target="https://www.youtube.com/watch?v=AGJKy4mCZp4" TargetMode="External"/><Relationship Id="rId304" Type="http://schemas.openxmlformats.org/officeDocument/2006/relationships/hyperlink" Target="https://youtu.be/mwRyr1iOIHk" TargetMode="External"/><Relationship Id="rId85" Type="http://schemas.openxmlformats.org/officeDocument/2006/relationships/hyperlink" Target="https://www.youtube.com/watch?v=CPSFay5S5b0" TargetMode="External"/><Relationship Id="rId150" Type="http://schemas.openxmlformats.org/officeDocument/2006/relationships/hyperlink" Target="https://www.youtube.com/watch?v=NSGMmQZ2wq8" TargetMode="External"/><Relationship Id="rId192" Type="http://schemas.openxmlformats.org/officeDocument/2006/relationships/hyperlink" Target="https://www.youtube.com/watch?v=ksueXhuAqIg" TargetMode="External"/><Relationship Id="rId206" Type="http://schemas.openxmlformats.org/officeDocument/2006/relationships/hyperlink" Target="https://www.youtube.com/watch?v=6doNtSDKKyg" TargetMode="External"/><Relationship Id="rId248" Type="http://schemas.openxmlformats.org/officeDocument/2006/relationships/hyperlink" Target="https://www.youtube.com/watch?v=fPIrAtiwj6E" TargetMode="External"/><Relationship Id="rId12" Type="http://schemas.openxmlformats.org/officeDocument/2006/relationships/hyperlink" Target="https://www.youtube.com/watch?v=qdzHT9M07iw" TargetMode="External"/><Relationship Id="rId108" Type="http://schemas.openxmlformats.org/officeDocument/2006/relationships/hyperlink" Target="https://www.youtube.com/watch?v=0DfTONqQP0Y" TargetMode="External"/><Relationship Id="rId315" Type="http://schemas.openxmlformats.org/officeDocument/2006/relationships/hyperlink" Target="https://www.youtube.com/watch?v=2NPKAFvU4KI" TargetMode="External"/><Relationship Id="rId54" Type="http://schemas.openxmlformats.org/officeDocument/2006/relationships/hyperlink" Target="https://www.youtube.com/watch?v=Zxctvz9ZuGM" TargetMode="External"/><Relationship Id="rId96" Type="http://schemas.openxmlformats.org/officeDocument/2006/relationships/hyperlink" Target="https://www.youtube.com/watch?v=sG7F5eBcaVs" TargetMode="External"/><Relationship Id="rId161" Type="http://schemas.openxmlformats.org/officeDocument/2006/relationships/hyperlink" Target="https://www.youtube.com/watch?v=7KU3FCwe_Vk" TargetMode="External"/><Relationship Id="rId217" Type="http://schemas.openxmlformats.org/officeDocument/2006/relationships/hyperlink" Target="https://www.youtube.com/watch?v=i2RxKoaeeg0" TargetMode="External"/><Relationship Id="rId259" Type="http://schemas.openxmlformats.org/officeDocument/2006/relationships/hyperlink" Target="https://www.youtube.com/watch?v=1444FpEZCLE" TargetMode="External"/><Relationship Id="rId23" Type="http://schemas.openxmlformats.org/officeDocument/2006/relationships/hyperlink" Target="https://www.youtube.com/watch?v=CNt45ox6Reg" TargetMode="External"/><Relationship Id="rId119" Type="http://schemas.openxmlformats.org/officeDocument/2006/relationships/hyperlink" Target="https://www.youtube.com/watch?v=zkaUzJEqC6c" TargetMode="External"/><Relationship Id="rId270" Type="http://schemas.openxmlformats.org/officeDocument/2006/relationships/hyperlink" Target="https://www.youtube.com/watch?v=HujGytlPE1c" TargetMode="External"/><Relationship Id="rId65" Type="http://schemas.openxmlformats.org/officeDocument/2006/relationships/hyperlink" Target="https://www.youtube.com/watch?v=tkKmqog5sJc" TargetMode="External"/><Relationship Id="rId130" Type="http://schemas.openxmlformats.org/officeDocument/2006/relationships/hyperlink" Target="https://www.youtube.com/watch?v=gvRPaTA8pxc" TargetMode="External"/><Relationship Id="rId172" Type="http://schemas.openxmlformats.org/officeDocument/2006/relationships/hyperlink" Target="https://www.youtube.com/watch?v=ShHbQyeCExs" TargetMode="External"/><Relationship Id="rId228" Type="http://schemas.openxmlformats.org/officeDocument/2006/relationships/hyperlink" Target="https://www.youtube.com/watch?v=IsFjPsR7Sa8" TargetMode="External"/><Relationship Id="rId13" Type="http://schemas.openxmlformats.org/officeDocument/2006/relationships/hyperlink" Target="https://www.youtube.com/watch?v=q5l9mHtkXjM" TargetMode="External"/><Relationship Id="rId109" Type="http://schemas.openxmlformats.org/officeDocument/2006/relationships/hyperlink" Target="https://www.youtube.com/watch?v=UDVIl5orU7E" TargetMode="External"/><Relationship Id="rId260" Type="http://schemas.openxmlformats.org/officeDocument/2006/relationships/hyperlink" Target="https://www.youtube.com/watch?v=tZUbec4ZUuA" TargetMode="External"/><Relationship Id="rId281" Type="http://schemas.openxmlformats.org/officeDocument/2006/relationships/hyperlink" Target="https://www.youtube.com/watch?v=ZGzRfFtq3Qo" TargetMode="External"/><Relationship Id="rId316" Type="http://schemas.openxmlformats.org/officeDocument/2006/relationships/hyperlink" Target="https://www.youtube.com/watch?v=2NPKAFvU4KI" TargetMode="External"/><Relationship Id="rId34" Type="http://schemas.openxmlformats.org/officeDocument/2006/relationships/hyperlink" Target="https://www.youtube.com/watch?v=nOHvcIU9Nls" TargetMode="External"/><Relationship Id="rId55" Type="http://schemas.openxmlformats.org/officeDocument/2006/relationships/hyperlink" Target="https://www.youtube.com/watch?v=jLb3lRa3osA" TargetMode="External"/><Relationship Id="rId76" Type="http://schemas.openxmlformats.org/officeDocument/2006/relationships/hyperlink" Target="https://www.youtube.com/watch?v=5rIjXfcgeMQ" TargetMode="External"/><Relationship Id="rId97" Type="http://schemas.openxmlformats.org/officeDocument/2006/relationships/hyperlink" Target="https://www.youtube.com/watch?v=na8NezT2n1U" TargetMode="External"/><Relationship Id="rId120" Type="http://schemas.openxmlformats.org/officeDocument/2006/relationships/hyperlink" Target="https://www.youtube.com/watch?v=-2YrpCsEoK4" TargetMode="External"/><Relationship Id="rId141" Type="http://schemas.openxmlformats.org/officeDocument/2006/relationships/hyperlink" Target="https://www.youtube.com/watch?v=oNF4tRAJetw" TargetMode="External"/><Relationship Id="rId7" Type="http://schemas.openxmlformats.org/officeDocument/2006/relationships/hyperlink" Target="https://www.youtube.com/watch?v=h56DfJDTw88" TargetMode="External"/><Relationship Id="rId162" Type="http://schemas.openxmlformats.org/officeDocument/2006/relationships/hyperlink" Target="https://www.youtube.com/watch?v=SqyzwNB2ywY" TargetMode="External"/><Relationship Id="rId183" Type="http://schemas.openxmlformats.org/officeDocument/2006/relationships/hyperlink" Target="https://www.youtube.com/watch?v=CWRXrydDeOc" TargetMode="External"/><Relationship Id="rId218" Type="http://schemas.openxmlformats.org/officeDocument/2006/relationships/hyperlink" Target="https://www.youtube.com/watch?v=rnIYuqZvFWI" TargetMode="External"/><Relationship Id="rId239" Type="http://schemas.openxmlformats.org/officeDocument/2006/relationships/hyperlink" Target="https://www.youtube.com/watch?v=ZkGJtEeE7W8" TargetMode="External"/><Relationship Id="rId250" Type="http://schemas.openxmlformats.org/officeDocument/2006/relationships/hyperlink" Target="https://www.youtube.com/watch?v=NsXuTJxystM" TargetMode="External"/><Relationship Id="rId271" Type="http://schemas.openxmlformats.org/officeDocument/2006/relationships/hyperlink" Target="https://www.youtube.com/watch?v=R3O1_l2KFC0" TargetMode="External"/><Relationship Id="rId292" Type="http://schemas.openxmlformats.org/officeDocument/2006/relationships/hyperlink" Target="https://www.youtube.com/watch?v=jOHdrWX_Vz4" TargetMode="External"/><Relationship Id="rId306" Type="http://schemas.openxmlformats.org/officeDocument/2006/relationships/hyperlink" Target="https://www.youtube.com/watch?v=b4ijch3YLHc" TargetMode="External"/><Relationship Id="rId24" Type="http://schemas.openxmlformats.org/officeDocument/2006/relationships/hyperlink" Target="https://www.youtube.com/watch?v=F_cnX2tF_G0" TargetMode="External"/><Relationship Id="rId45" Type="http://schemas.openxmlformats.org/officeDocument/2006/relationships/hyperlink" Target="https://www.youtube.com/watch?v=WodJSfMJIps" TargetMode="External"/><Relationship Id="rId66" Type="http://schemas.openxmlformats.org/officeDocument/2006/relationships/hyperlink" Target="https://www.youtube.com/watch?v=tkKmqog5sJc" TargetMode="External"/><Relationship Id="rId87" Type="http://schemas.openxmlformats.org/officeDocument/2006/relationships/hyperlink" Target="https://www.youtube.com/watch?v=eMLNE705R2A" TargetMode="External"/><Relationship Id="rId110" Type="http://schemas.openxmlformats.org/officeDocument/2006/relationships/hyperlink" Target="https://www.youtube.com/watch?v=jOL7meF1COw" TargetMode="External"/><Relationship Id="rId131" Type="http://schemas.openxmlformats.org/officeDocument/2006/relationships/hyperlink" Target="https://www.youtube.com/watch?v=6e4zn1fZn1s" TargetMode="External"/><Relationship Id="rId152" Type="http://schemas.openxmlformats.org/officeDocument/2006/relationships/hyperlink" Target="https://www.youtube.com/watch?v=wxImQEszv1Y" TargetMode="External"/><Relationship Id="rId173" Type="http://schemas.openxmlformats.org/officeDocument/2006/relationships/hyperlink" Target="https://www.youtube.com/watch?v=tqojl0sdGKQ" TargetMode="External"/><Relationship Id="rId194" Type="http://schemas.openxmlformats.org/officeDocument/2006/relationships/hyperlink" Target="https://www.youtube.com/watch?v=kR4UpcLUCDk" TargetMode="External"/><Relationship Id="rId208" Type="http://schemas.openxmlformats.org/officeDocument/2006/relationships/hyperlink" Target="https://www.youtube.com/watch?v=ZRYAu4l6S6A" TargetMode="External"/><Relationship Id="rId229" Type="http://schemas.openxmlformats.org/officeDocument/2006/relationships/hyperlink" Target="https://www.youtube.com/watch?v=HNdqZJC8LaY" TargetMode="External"/><Relationship Id="rId240" Type="http://schemas.openxmlformats.org/officeDocument/2006/relationships/hyperlink" Target="https://www.youtube.com/watch?v=khpSKAprYHo" TargetMode="External"/><Relationship Id="rId261" Type="http://schemas.openxmlformats.org/officeDocument/2006/relationships/hyperlink" Target="https://www.youtube.com/watch?v=dVljSzOwndU" TargetMode="External"/><Relationship Id="rId14" Type="http://schemas.openxmlformats.org/officeDocument/2006/relationships/hyperlink" Target="https://www.youtube.com/watch?v=D3NGcI3k2pI" TargetMode="External"/><Relationship Id="rId35" Type="http://schemas.openxmlformats.org/officeDocument/2006/relationships/hyperlink" Target="https://www.youtube.com/watch?v=ObmqXo7aId0" TargetMode="External"/><Relationship Id="rId56" Type="http://schemas.openxmlformats.org/officeDocument/2006/relationships/hyperlink" Target="https://www.youtube.com/watch?v=KsSOB2ZwIlI" TargetMode="External"/><Relationship Id="rId77" Type="http://schemas.openxmlformats.org/officeDocument/2006/relationships/hyperlink" Target="https://www.youtube.com/watch?v=5rIjXfcgeMQ" TargetMode="External"/><Relationship Id="rId100" Type="http://schemas.openxmlformats.org/officeDocument/2006/relationships/hyperlink" Target="https://www.youtube.com/watch?v=sag-knWne6o" TargetMode="External"/><Relationship Id="rId282" Type="http://schemas.openxmlformats.org/officeDocument/2006/relationships/hyperlink" Target="https://www.youtube.com/watch?v=7jyIS1CKozQ" TargetMode="External"/><Relationship Id="rId317" Type="http://schemas.openxmlformats.org/officeDocument/2006/relationships/drawing" Target="../drawings/drawing1.xml"/><Relationship Id="rId8" Type="http://schemas.openxmlformats.org/officeDocument/2006/relationships/hyperlink" Target="https://www.youtube.com/watch?v=6tt4w9I80-4" TargetMode="External"/><Relationship Id="rId98" Type="http://schemas.openxmlformats.org/officeDocument/2006/relationships/hyperlink" Target="https://www.youtube.com/watch?v=sH9mP2jmG_w" TargetMode="External"/><Relationship Id="rId121" Type="http://schemas.openxmlformats.org/officeDocument/2006/relationships/hyperlink" Target="https://www.youtube.com/watch?v=MpTdcFS9IC8" TargetMode="External"/><Relationship Id="rId142" Type="http://schemas.openxmlformats.org/officeDocument/2006/relationships/hyperlink" Target="https://www.youtube.com/watch?v=JxR23zXP6hY" TargetMode="External"/><Relationship Id="rId163" Type="http://schemas.openxmlformats.org/officeDocument/2006/relationships/hyperlink" Target="https://www.youtube.com/watch?v=KLVNosOwq5s" TargetMode="External"/><Relationship Id="rId184" Type="http://schemas.openxmlformats.org/officeDocument/2006/relationships/hyperlink" Target="https://www.youtube.com/watch?v=S0o4yMm_Zmg" TargetMode="External"/><Relationship Id="rId219" Type="http://schemas.openxmlformats.org/officeDocument/2006/relationships/hyperlink" Target="https://www.youtube.com/watch?v=uCjSa6VzREo" TargetMode="External"/><Relationship Id="rId230" Type="http://schemas.openxmlformats.org/officeDocument/2006/relationships/hyperlink" Target="https://www.youtube.com/watch?v=jpluUP3QhMc" TargetMode="External"/><Relationship Id="rId251" Type="http://schemas.openxmlformats.org/officeDocument/2006/relationships/hyperlink" Target="https://www.youtube.com/watch?v=f-BT2-KSzbE" TargetMode="External"/><Relationship Id="rId25" Type="http://schemas.openxmlformats.org/officeDocument/2006/relationships/hyperlink" Target="https://www.youtube.com/watch?v=bF5LVQZLoeA" TargetMode="External"/><Relationship Id="rId46" Type="http://schemas.openxmlformats.org/officeDocument/2006/relationships/hyperlink" Target="https://www.youtube.com/watch?v=9hVJXEAV31c" TargetMode="External"/><Relationship Id="rId67" Type="http://schemas.openxmlformats.org/officeDocument/2006/relationships/hyperlink" Target="https://www.youtube.com/watch?v=tdeRLQzdIL8" TargetMode="External"/><Relationship Id="rId272" Type="http://schemas.openxmlformats.org/officeDocument/2006/relationships/hyperlink" Target="https://www.youtube.com/watch?v=bFA-AWpUhkE" TargetMode="External"/><Relationship Id="rId293" Type="http://schemas.openxmlformats.org/officeDocument/2006/relationships/hyperlink" Target="https://www.youtube.com/watch?v=oTqtqQjhzzo" TargetMode="External"/><Relationship Id="rId307" Type="http://schemas.openxmlformats.org/officeDocument/2006/relationships/hyperlink" Target="https://www.youtube.com/watch?v=psuHpL2086o" TargetMode="External"/><Relationship Id="rId88" Type="http://schemas.openxmlformats.org/officeDocument/2006/relationships/hyperlink" Target="https://www.youtube.com/watch?v=-YrajFuEJxM" TargetMode="External"/><Relationship Id="rId111" Type="http://schemas.openxmlformats.org/officeDocument/2006/relationships/hyperlink" Target="https://www.youtube.com/watch?v=QdBJ3o3SMS0" TargetMode="External"/><Relationship Id="rId132" Type="http://schemas.openxmlformats.org/officeDocument/2006/relationships/hyperlink" Target="https://www.youtube.com/watch?v=uGB-u06MPZU" TargetMode="External"/><Relationship Id="rId153" Type="http://schemas.openxmlformats.org/officeDocument/2006/relationships/hyperlink" Target="https://www.youtube.com/watch?v=EwtR6rMZDrE" TargetMode="External"/><Relationship Id="rId174" Type="http://schemas.openxmlformats.org/officeDocument/2006/relationships/hyperlink" Target="https://www.youtube.com/watch?v=89RmRhwTDro" TargetMode="External"/><Relationship Id="rId195" Type="http://schemas.openxmlformats.org/officeDocument/2006/relationships/hyperlink" Target="https://www.youtube.com/watch?v=TtOg_lGn15U" TargetMode="External"/><Relationship Id="rId209" Type="http://schemas.openxmlformats.org/officeDocument/2006/relationships/hyperlink" Target="https://www.youtube.com/watch?v=LNEMLzlOfe8" TargetMode="External"/><Relationship Id="rId220" Type="http://schemas.openxmlformats.org/officeDocument/2006/relationships/hyperlink" Target="https://www.youtube.com/watch?v=9tyfYdZXCa0" TargetMode="External"/><Relationship Id="rId241" Type="http://schemas.openxmlformats.org/officeDocument/2006/relationships/hyperlink" Target="https://www.youtube.com/watch?v=lSCX-3OiQW4" TargetMode="External"/><Relationship Id="rId15" Type="http://schemas.openxmlformats.org/officeDocument/2006/relationships/hyperlink" Target="https://www.youtube.com/watch?v=Tn0gGKZPvrc" TargetMode="External"/><Relationship Id="rId36" Type="http://schemas.openxmlformats.org/officeDocument/2006/relationships/hyperlink" Target="https://www.youtube.com/watch?v=U91Scoq6xl0" TargetMode="External"/><Relationship Id="rId57" Type="http://schemas.openxmlformats.org/officeDocument/2006/relationships/hyperlink" Target="https://www.youtube.com/watch?v=cPtyOlvvKXA" TargetMode="External"/><Relationship Id="rId262" Type="http://schemas.openxmlformats.org/officeDocument/2006/relationships/hyperlink" Target="https://www.youtube.com/watch?v=ZRYAu4l6S6A" TargetMode="External"/><Relationship Id="rId283" Type="http://schemas.openxmlformats.org/officeDocument/2006/relationships/hyperlink" Target="https://www.youtube.com/watch?v=_mWbEtIhpPU" TargetMode="External"/><Relationship Id="rId78" Type="http://schemas.openxmlformats.org/officeDocument/2006/relationships/hyperlink" Target="https://www.youtube.com/watch?v=tAqCBfoH1MA" TargetMode="External"/><Relationship Id="rId99" Type="http://schemas.openxmlformats.org/officeDocument/2006/relationships/hyperlink" Target="https://www.youtube.com/watch?v=KK5FxyFAleg" TargetMode="External"/><Relationship Id="rId101" Type="http://schemas.openxmlformats.org/officeDocument/2006/relationships/hyperlink" Target="https://www.youtube.com/watch?v=BJEGkElc2Os" TargetMode="External"/><Relationship Id="rId122" Type="http://schemas.openxmlformats.org/officeDocument/2006/relationships/hyperlink" Target="https://www.youtube.com/watch?v=WHrto2rYL-4" TargetMode="External"/><Relationship Id="rId143" Type="http://schemas.openxmlformats.org/officeDocument/2006/relationships/hyperlink" Target="https://www.youtube.com/watch?v=fQZ4IYYXRbY" TargetMode="External"/><Relationship Id="rId164" Type="http://schemas.openxmlformats.org/officeDocument/2006/relationships/hyperlink" Target="https://www.youtube.com/watch?v=-_s0rvHvjtA" TargetMode="External"/><Relationship Id="rId185" Type="http://schemas.openxmlformats.org/officeDocument/2006/relationships/hyperlink" Target="https://www.youtube.com/watch?v=tkKmqog5sJc" TargetMode="External"/><Relationship Id="rId9" Type="http://schemas.openxmlformats.org/officeDocument/2006/relationships/hyperlink" Target="https://www.youtube.com/watch?v=z_9lkaBSdR8" TargetMode="External"/><Relationship Id="rId210" Type="http://schemas.openxmlformats.org/officeDocument/2006/relationships/hyperlink" Target="https://www.youtube.com/watch?v=rza9DeONVG8" TargetMode="External"/><Relationship Id="rId26" Type="http://schemas.openxmlformats.org/officeDocument/2006/relationships/hyperlink" Target="https://www.youtube.com/watch?v=T9FrJyVVJus" TargetMode="External"/><Relationship Id="rId231" Type="http://schemas.openxmlformats.org/officeDocument/2006/relationships/hyperlink" Target="https://www.youtube.com/watch?v=rEuTB3I2AOw" TargetMode="External"/><Relationship Id="rId252" Type="http://schemas.openxmlformats.org/officeDocument/2006/relationships/hyperlink" Target="https://www.youtube.com/watch?v=68m0emzBD-4" TargetMode="External"/><Relationship Id="rId273" Type="http://schemas.openxmlformats.org/officeDocument/2006/relationships/hyperlink" Target="https://www.youtube.com/watch?v=8gVb9nsMmTo" TargetMode="External"/><Relationship Id="rId294" Type="http://schemas.openxmlformats.org/officeDocument/2006/relationships/hyperlink" Target="https://www.youtube.com/watch?v=eocsFIqfgv0" TargetMode="External"/><Relationship Id="rId308" Type="http://schemas.openxmlformats.org/officeDocument/2006/relationships/hyperlink" Target="https://www.youtube.com/watch?v=psuHpL2086o" TargetMode="External"/><Relationship Id="rId47" Type="http://schemas.openxmlformats.org/officeDocument/2006/relationships/hyperlink" Target="https://www.youtube.com/watch?v=ZAB1DiqHtb4" TargetMode="External"/><Relationship Id="rId68" Type="http://schemas.openxmlformats.org/officeDocument/2006/relationships/hyperlink" Target="https://www.youtube.com/watch?v=i7P0chS45rA" TargetMode="External"/><Relationship Id="rId89" Type="http://schemas.openxmlformats.org/officeDocument/2006/relationships/hyperlink" Target="https://www.youtube.com/watch?v=FPN1Afjo0Ss" TargetMode="External"/><Relationship Id="rId112" Type="http://schemas.openxmlformats.org/officeDocument/2006/relationships/hyperlink" Target="https://www.youtube.com/watch?v=1FWZIn29XQ0" TargetMode="External"/><Relationship Id="rId133" Type="http://schemas.openxmlformats.org/officeDocument/2006/relationships/hyperlink" Target="https://www.youtube.com/watch?v=F_vypqatduU" TargetMode="External"/><Relationship Id="rId154" Type="http://schemas.openxmlformats.org/officeDocument/2006/relationships/hyperlink" Target="https://www.youtube.com/watch?v=efa9HX_gJQA" TargetMode="External"/><Relationship Id="rId175" Type="http://schemas.openxmlformats.org/officeDocument/2006/relationships/hyperlink" Target="https://www.youtube.com/watch?v=g4Pvopgkz5w" TargetMode="External"/><Relationship Id="rId196" Type="http://schemas.openxmlformats.org/officeDocument/2006/relationships/hyperlink" Target="https://www.youtube.com/watch?v=rSKfN-FTyK0" TargetMode="External"/><Relationship Id="rId200" Type="http://schemas.openxmlformats.org/officeDocument/2006/relationships/hyperlink" Target="https://www.youtube.com/watch?v=9hVJXEAV31c" TargetMode="External"/><Relationship Id="rId16" Type="http://schemas.openxmlformats.org/officeDocument/2006/relationships/hyperlink" Target="https://www.youtube.com/watch?v=ApVLZithjU0" TargetMode="External"/><Relationship Id="rId221" Type="http://schemas.openxmlformats.org/officeDocument/2006/relationships/hyperlink" Target="https://www.youtube.com/watch?v=dIyS19FMkGM" TargetMode="External"/><Relationship Id="rId242" Type="http://schemas.openxmlformats.org/officeDocument/2006/relationships/hyperlink" Target="https://www.youtube.com/watch?v=mViohtOE1E4" TargetMode="External"/><Relationship Id="rId263" Type="http://schemas.openxmlformats.org/officeDocument/2006/relationships/hyperlink" Target="https://www.youtube.com/watch?v=mI22WVEwLl4" TargetMode="External"/><Relationship Id="rId284" Type="http://schemas.openxmlformats.org/officeDocument/2006/relationships/hyperlink" Target="https://www.youtube.com/watch?v=Gs7ui-VSsXQ" TargetMode="External"/><Relationship Id="rId37" Type="http://schemas.openxmlformats.org/officeDocument/2006/relationships/hyperlink" Target="https://www.youtube.com/watch?v=oxSWoMm8RY0" TargetMode="External"/><Relationship Id="rId58" Type="http://schemas.openxmlformats.org/officeDocument/2006/relationships/hyperlink" Target="https://www.youtube.com/watch?v=l9i5Sgr_cBU" TargetMode="External"/><Relationship Id="rId79" Type="http://schemas.openxmlformats.org/officeDocument/2006/relationships/hyperlink" Target="https://www.youtube.com/watch?v=2-H3KgBDURA" TargetMode="External"/><Relationship Id="rId102" Type="http://schemas.openxmlformats.org/officeDocument/2006/relationships/hyperlink" Target="https://www.youtube.com/watch?v=9yTe07qiRUI" TargetMode="External"/><Relationship Id="rId123" Type="http://schemas.openxmlformats.org/officeDocument/2006/relationships/hyperlink" Target="https://www.youtube.com/watch?v=I4r9FUoLp4c" TargetMode="External"/><Relationship Id="rId144" Type="http://schemas.openxmlformats.org/officeDocument/2006/relationships/hyperlink" Target="https://www.youtube.com/watch?v=_EZFzGQRmSQ" TargetMode="External"/><Relationship Id="rId90" Type="http://schemas.openxmlformats.org/officeDocument/2006/relationships/hyperlink" Target="https://www.youtube.com/watch?v=x4sDjxuu51Y" TargetMode="External"/><Relationship Id="rId165" Type="http://schemas.openxmlformats.org/officeDocument/2006/relationships/hyperlink" Target="https://www.youtube.com/watch?v=Z0w7P4P768M" TargetMode="External"/><Relationship Id="rId186" Type="http://schemas.openxmlformats.org/officeDocument/2006/relationships/hyperlink" Target="https://www.youtube.com/watch?v=lSCX-3OiQW4" TargetMode="External"/><Relationship Id="rId211" Type="http://schemas.openxmlformats.org/officeDocument/2006/relationships/hyperlink" Target="https://www.youtube.com/watch?v=MzAkBY4jZ2k" TargetMode="External"/><Relationship Id="rId232" Type="http://schemas.openxmlformats.org/officeDocument/2006/relationships/hyperlink" Target="https://www.youtube.com/watch?v=0cTPwzAIDtY" TargetMode="External"/><Relationship Id="rId253" Type="http://schemas.openxmlformats.org/officeDocument/2006/relationships/hyperlink" Target="https://www.youtube.com/watch?v=lv03Rse4Yfo" TargetMode="External"/><Relationship Id="rId274" Type="http://schemas.openxmlformats.org/officeDocument/2006/relationships/hyperlink" Target="https://www.youtube.com/watch?v=KZOY1TYeJnI" TargetMode="External"/><Relationship Id="rId295" Type="http://schemas.openxmlformats.org/officeDocument/2006/relationships/hyperlink" Target="https://www.youtube.com/watch?v=eocsFIqfgv0" TargetMode="External"/><Relationship Id="rId309" Type="http://schemas.openxmlformats.org/officeDocument/2006/relationships/hyperlink" Target="https://www.youtube.com/watch?v=xHoXEhZw0Js" TargetMode="External"/><Relationship Id="rId27" Type="http://schemas.openxmlformats.org/officeDocument/2006/relationships/hyperlink" Target="https://www.youtube.com/watch?v=79Wtw8vBQnI" TargetMode="External"/><Relationship Id="rId48" Type="http://schemas.openxmlformats.org/officeDocument/2006/relationships/hyperlink" Target="https://www.youtube.com/watch?v=CkJ3eVtrlos" TargetMode="External"/><Relationship Id="rId69" Type="http://schemas.openxmlformats.org/officeDocument/2006/relationships/hyperlink" Target="https://www.youtube.com/watch?v=grpM9NdXOns" TargetMode="External"/><Relationship Id="rId113" Type="http://schemas.openxmlformats.org/officeDocument/2006/relationships/hyperlink" Target="https://www.youtube.com/watch?v=xLb4B5UN6EE" TargetMode="External"/><Relationship Id="rId134" Type="http://schemas.openxmlformats.org/officeDocument/2006/relationships/hyperlink" Target="https://www.youtube.com/watch?v=HLzSb86pPEU" TargetMode="External"/><Relationship Id="rId80" Type="http://schemas.openxmlformats.org/officeDocument/2006/relationships/hyperlink" Target="https://www.youtube.com/watch?v=FXtRUZyxDjA" TargetMode="External"/><Relationship Id="rId155" Type="http://schemas.openxmlformats.org/officeDocument/2006/relationships/hyperlink" Target="https://www.youtube.com/watch?v=-dWtCoZG1tw" TargetMode="External"/><Relationship Id="rId176" Type="http://schemas.openxmlformats.org/officeDocument/2006/relationships/hyperlink" Target="https://www.youtube.com/watch?v=ZXcGFumUeV4" TargetMode="External"/><Relationship Id="rId197" Type="http://schemas.openxmlformats.org/officeDocument/2006/relationships/hyperlink" Target="https://www.youtube.com/watch?v=tdIBUHjsZQQ" TargetMode="External"/><Relationship Id="rId201" Type="http://schemas.openxmlformats.org/officeDocument/2006/relationships/hyperlink" Target="https://www.youtube.com/watch?v=gZYhzGK4wa0" TargetMode="External"/><Relationship Id="rId222" Type="http://schemas.openxmlformats.org/officeDocument/2006/relationships/hyperlink" Target="https://www.youtube.com/watch?v=gwuq6rY3Fig" TargetMode="External"/><Relationship Id="rId243" Type="http://schemas.openxmlformats.org/officeDocument/2006/relationships/hyperlink" Target="https://www.youtube.com/watch?v=-FNkd5uz4k0" TargetMode="External"/><Relationship Id="rId264" Type="http://schemas.openxmlformats.org/officeDocument/2006/relationships/hyperlink" Target="https://www.youtube.com/watch?v=MikO5HlkUSA" TargetMode="External"/><Relationship Id="rId285" Type="http://schemas.openxmlformats.org/officeDocument/2006/relationships/hyperlink" Target="https://www.youtube.com/watch?v=rSKfN-FTyK0" TargetMode="External"/><Relationship Id="rId17" Type="http://schemas.openxmlformats.org/officeDocument/2006/relationships/hyperlink" Target="https://www.youtube.com/watch?v=9fcwHVU2kNA" TargetMode="External"/><Relationship Id="rId38" Type="http://schemas.openxmlformats.org/officeDocument/2006/relationships/hyperlink" Target="https://www.youtube.com/watch?v=CG7whlQF5K4" TargetMode="External"/><Relationship Id="rId59" Type="http://schemas.openxmlformats.org/officeDocument/2006/relationships/hyperlink" Target="https://www.youtube.com/watch?v=zkaUzJEqC6c" TargetMode="External"/><Relationship Id="rId103" Type="http://schemas.openxmlformats.org/officeDocument/2006/relationships/hyperlink" Target="https://www.youtube.com/watch?v=oOdrNcPoC1Q" TargetMode="External"/><Relationship Id="rId124" Type="http://schemas.openxmlformats.org/officeDocument/2006/relationships/hyperlink" Target="https://www.youtube.com/watch?v=mHoT5vcbFgk" TargetMode="External"/><Relationship Id="rId310" Type="http://schemas.openxmlformats.org/officeDocument/2006/relationships/hyperlink" Target="https://www.youtube.com/watch?v=xHoXEhZw0Js" TargetMode="External"/><Relationship Id="rId70" Type="http://schemas.openxmlformats.org/officeDocument/2006/relationships/hyperlink" Target="https://www.youtube.com/watch?v=hpClhCR6wJs" TargetMode="External"/><Relationship Id="rId91" Type="http://schemas.openxmlformats.org/officeDocument/2006/relationships/hyperlink" Target="https://www.youtube.com/watch?v=0cTPwzAIDtY" TargetMode="External"/><Relationship Id="rId145" Type="http://schemas.openxmlformats.org/officeDocument/2006/relationships/hyperlink" Target="https://www.youtube.com/watch?v=foe16S5Bh5U" TargetMode="External"/><Relationship Id="rId166" Type="http://schemas.openxmlformats.org/officeDocument/2006/relationships/hyperlink" Target="https://www.youtube.com/watch?v=2f_QCWBk8Vs" TargetMode="External"/><Relationship Id="rId187" Type="http://schemas.openxmlformats.org/officeDocument/2006/relationships/hyperlink" Target="https://www.youtube.com/watch?v=VdZ1Dr802vo" TargetMode="External"/><Relationship Id="rId1" Type="http://schemas.openxmlformats.org/officeDocument/2006/relationships/hyperlink" Target="https://www.youtube.com/watch?v=VIT2l42-9a0" TargetMode="External"/><Relationship Id="rId212" Type="http://schemas.openxmlformats.org/officeDocument/2006/relationships/hyperlink" Target="https://www.youtube.com/watch?v=3jKzryob6h8" TargetMode="External"/><Relationship Id="rId233" Type="http://schemas.openxmlformats.org/officeDocument/2006/relationships/hyperlink" Target="https://www.youtube.com/watch?v=gZYhzGK4wa0" TargetMode="External"/><Relationship Id="rId254" Type="http://schemas.openxmlformats.org/officeDocument/2006/relationships/hyperlink" Target="https://www.youtube.com/watch?v=GwwGlqlFxNU" TargetMode="External"/><Relationship Id="rId28" Type="http://schemas.openxmlformats.org/officeDocument/2006/relationships/hyperlink" Target="https://www.youtube.com/watch?v=RMkgCWwuN-M" TargetMode="External"/><Relationship Id="rId49" Type="http://schemas.openxmlformats.org/officeDocument/2006/relationships/hyperlink" Target="https://www.youtube.com/watch?v=QdBJ3o3SMS0" TargetMode="External"/><Relationship Id="rId114" Type="http://schemas.openxmlformats.org/officeDocument/2006/relationships/hyperlink" Target="https://www.youtube.com/watch?v=e2XIZZI9ojM" TargetMode="External"/><Relationship Id="rId275" Type="http://schemas.openxmlformats.org/officeDocument/2006/relationships/hyperlink" Target="https://www.youtube.com/watch?v=FPN1Afjo0Ss" TargetMode="External"/><Relationship Id="rId296" Type="http://schemas.openxmlformats.org/officeDocument/2006/relationships/hyperlink" Target="https://www.youtube.com/watch?v=-eFGDOTbZN4" TargetMode="External"/><Relationship Id="rId300" Type="http://schemas.openxmlformats.org/officeDocument/2006/relationships/hyperlink" Target="https://www.youtube.com/watch?v=XX6pE_FPn_Y" TargetMode="External"/><Relationship Id="rId60" Type="http://schemas.openxmlformats.org/officeDocument/2006/relationships/hyperlink" Target="https://www.youtube.com/watch?v=-_s0rvHvjtA" TargetMode="External"/><Relationship Id="rId81" Type="http://schemas.openxmlformats.org/officeDocument/2006/relationships/hyperlink" Target="https://www.youtube.com/watch?v=1444FpEZCLE" TargetMode="External"/><Relationship Id="rId135" Type="http://schemas.openxmlformats.org/officeDocument/2006/relationships/hyperlink" Target="https://www.youtube.com/watch?v=zwyQpQocT40" TargetMode="External"/><Relationship Id="rId156" Type="http://schemas.openxmlformats.org/officeDocument/2006/relationships/hyperlink" Target="https://www.youtube.com/watch?v=jadSXkwzXr0" TargetMode="External"/><Relationship Id="rId177" Type="http://schemas.openxmlformats.org/officeDocument/2006/relationships/hyperlink" Target="https://www.youtube.com/watch?v=iPZeIt2HHoU" TargetMode="External"/><Relationship Id="rId198" Type="http://schemas.openxmlformats.org/officeDocument/2006/relationships/hyperlink" Target="https://www.youtube.com/watch?v=y44u93xjkgA" TargetMode="External"/><Relationship Id="rId202" Type="http://schemas.openxmlformats.org/officeDocument/2006/relationships/hyperlink" Target="https://www.youtube.com/watch?v=jLb3lRa3osA" TargetMode="External"/><Relationship Id="rId223" Type="http://schemas.openxmlformats.org/officeDocument/2006/relationships/hyperlink" Target="https://www.youtube.com/watch?v=JcSVd9HKM4A" TargetMode="External"/><Relationship Id="rId244" Type="http://schemas.openxmlformats.org/officeDocument/2006/relationships/hyperlink" Target="https://www.youtube.com/watch?v=klk0J4V7qlk" TargetMode="External"/><Relationship Id="rId18" Type="http://schemas.openxmlformats.org/officeDocument/2006/relationships/hyperlink" Target="https://www.youtube.com/watch?v=y-3hcNGOomM" TargetMode="External"/><Relationship Id="rId39" Type="http://schemas.openxmlformats.org/officeDocument/2006/relationships/hyperlink" Target="https://www.youtube.com/watch?v=MdNZvWa8mDI" TargetMode="External"/><Relationship Id="rId265" Type="http://schemas.openxmlformats.org/officeDocument/2006/relationships/hyperlink" Target="https://www.youtube.com/watch?v=6doNtSDKKyg" TargetMode="External"/><Relationship Id="rId286" Type="http://schemas.openxmlformats.org/officeDocument/2006/relationships/hyperlink" Target="https://www.youtube.com/watch?v=dM4xn_xKtL8" TargetMode="External"/><Relationship Id="rId50" Type="http://schemas.openxmlformats.org/officeDocument/2006/relationships/hyperlink" Target="https://www.youtube.com/watch?v=oNF4tRAJetw" TargetMode="External"/><Relationship Id="rId104" Type="http://schemas.openxmlformats.org/officeDocument/2006/relationships/hyperlink" Target="https://www.youtube.com/watch?v=r9hk8iX5YO0" TargetMode="External"/><Relationship Id="rId125" Type="http://schemas.openxmlformats.org/officeDocument/2006/relationships/hyperlink" Target="https://www.youtube.com/watch?v=ACbkEBlXTH8" TargetMode="External"/><Relationship Id="rId146" Type="http://schemas.openxmlformats.org/officeDocument/2006/relationships/hyperlink" Target="https://www.youtube.com/watch?v=rssKZc2CBws" TargetMode="External"/><Relationship Id="rId167" Type="http://schemas.openxmlformats.org/officeDocument/2006/relationships/hyperlink" Target="https://www.youtube.com/watch?v=NNrkHXV_OZM" TargetMode="External"/><Relationship Id="rId188" Type="http://schemas.openxmlformats.org/officeDocument/2006/relationships/hyperlink" Target="https://www.youtube.com/watch?v=lSCX-3OiQW4" TargetMode="External"/><Relationship Id="rId311" Type="http://schemas.openxmlformats.org/officeDocument/2006/relationships/hyperlink" Target="https://www.youtube.com/watch?v=gMdiOG596gM" TargetMode="External"/><Relationship Id="rId71" Type="http://schemas.openxmlformats.org/officeDocument/2006/relationships/hyperlink" Target="https://www.youtube.com/watch?v=9yTe07qiRUI" TargetMode="External"/><Relationship Id="rId92" Type="http://schemas.openxmlformats.org/officeDocument/2006/relationships/hyperlink" Target="https://www.youtube.com/watch?v=GvfANw1AOaw" TargetMode="External"/><Relationship Id="rId213" Type="http://schemas.openxmlformats.org/officeDocument/2006/relationships/hyperlink" Target="https://www.youtube.com/watch?v=vpkEWnwfKWs" TargetMode="External"/><Relationship Id="rId234" Type="http://schemas.openxmlformats.org/officeDocument/2006/relationships/hyperlink" Target="https://www.youtube.com/watch?v=4DMKJEejbZY" TargetMode="External"/><Relationship Id="rId2" Type="http://schemas.openxmlformats.org/officeDocument/2006/relationships/hyperlink" Target="https://www.youtube.com/watch?v=S6ZssW3ZolI" TargetMode="External"/><Relationship Id="rId29" Type="http://schemas.openxmlformats.org/officeDocument/2006/relationships/hyperlink" Target="https://www.youtube.com/watch?v=y_yrOsulKOA" TargetMode="External"/><Relationship Id="rId255" Type="http://schemas.openxmlformats.org/officeDocument/2006/relationships/hyperlink" Target="https://www.youtube.com/watch?v=VbZSkcGiZps" TargetMode="External"/><Relationship Id="rId276" Type="http://schemas.openxmlformats.org/officeDocument/2006/relationships/hyperlink" Target="https://www.youtube.com/watch?v=x4sDjxuu51Y" TargetMode="External"/><Relationship Id="rId297" Type="http://schemas.openxmlformats.org/officeDocument/2006/relationships/hyperlink" Target="https://www.youtube.com/watch?v=-eFGDOTbZN4" TargetMode="External"/><Relationship Id="rId40" Type="http://schemas.openxmlformats.org/officeDocument/2006/relationships/hyperlink" Target="https://www.youtube.com/watch?v=MdNZvWa8mDI" TargetMode="External"/><Relationship Id="rId115" Type="http://schemas.openxmlformats.org/officeDocument/2006/relationships/hyperlink" Target="https://www.youtube.com/watch?v=non8TkaH8SE" TargetMode="External"/><Relationship Id="rId136" Type="http://schemas.openxmlformats.org/officeDocument/2006/relationships/hyperlink" Target="https://www.youtube.com/watch?v=_VRHRklcwD4" TargetMode="External"/><Relationship Id="rId157" Type="http://schemas.openxmlformats.org/officeDocument/2006/relationships/hyperlink" Target="https://www.youtube.com/watch?v=FBQpVTADWOQ" TargetMode="External"/><Relationship Id="rId178" Type="http://schemas.openxmlformats.org/officeDocument/2006/relationships/hyperlink" Target="https://www.youtube.com/watch?v=SiQXCYMtGZY" TargetMode="External"/><Relationship Id="rId301" Type="http://schemas.openxmlformats.org/officeDocument/2006/relationships/hyperlink" Target="https://www.youtube.com/watch?v=DhF7lRLGob0" TargetMode="External"/><Relationship Id="rId61" Type="http://schemas.openxmlformats.org/officeDocument/2006/relationships/hyperlink" Target="https://www.youtube.com/watch?v=lnzJzaseOco" TargetMode="External"/><Relationship Id="rId82" Type="http://schemas.openxmlformats.org/officeDocument/2006/relationships/hyperlink" Target="https://www.youtube.com/watch?v=CPSFay5S5b0" TargetMode="External"/><Relationship Id="rId199" Type="http://schemas.openxmlformats.org/officeDocument/2006/relationships/hyperlink" Target="https://www.youtube.com/watch?v=9AN5SLc0Uyw" TargetMode="External"/><Relationship Id="rId203" Type="http://schemas.openxmlformats.org/officeDocument/2006/relationships/hyperlink" Target="https://www.youtube.com/watch?v=KsSOB2ZwIlI" TargetMode="External"/><Relationship Id="rId19" Type="http://schemas.openxmlformats.org/officeDocument/2006/relationships/hyperlink" Target="https://www.youtube.com/watch?v=I1A9woKs6fo" TargetMode="External"/><Relationship Id="rId224" Type="http://schemas.openxmlformats.org/officeDocument/2006/relationships/hyperlink" Target="https://www.youtube.com/watch?v=UzbD1q3Xq7I" TargetMode="External"/><Relationship Id="rId245" Type="http://schemas.openxmlformats.org/officeDocument/2006/relationships/hyperlink" Target="https://www.youtube.com/watch?v=ksueXhuAqIg" TargetMode="External"/><Relationship Id="rId266" Type="http://schemas.openxmlformats.org/officeDocument/2006/relationships/hyperlink" Target="https://www.youtube.com/watch?v=qJgYv9WJpKA" TargetMode="External"/><Relationship Id="rId287" Type="http://schemas.openxmlformats.org/officeDocument/2006/relationships/hyperlink" Target="https://www.youtube.com/watch?v=6Sewq3TNknE" TargetMode="External"/><Relationship Id="rId30" Type="http://schemas.openxmlformats.org/officeDocument/2006/relationships/hyperlink" Target="https://www.youtube.com/watch?v=ol7TCJmcswI" TargetMode="External"/><Relationship Id="rId105" Type="http://schemas.openxmlformats.org/officeDocument/2006/relationships/hyperlink" Target="https://www.youtube.com/watch?v=LNEMLzlOfe8" TargetMode="External"/><Relationship Id="rId126" Type="http://schemas.openxmlformats.org/officeDocument/2006/relationships/hyperlink" Target="https://www.youtube.com/watch?v=O2XxW6L2jw0" TargetMode="External"/><Relationship Id="rId147" Type="http://schemas.openxmlformats.org/officeDocument/2006/relationships/hyperlink" Target="https://www.youtube.com/watch?v=wKr70yrRTU8" TargetMode="External"/><Relationship Id="rId168" Type="http://schemas.openxmlformats.org/officeDocument/2006/relationships/hyperlink" Target="https://www.youtube.com/watch?v=cPtyOlvvKXA" TargetMode="External"/><Relationship Id="rId312" Type="http://schemas.openxmlformats.org/officeDocument/2006/relationships/hyperlink" Target="https://www.youtube.com/watch?v=lTVr-xE6fTU" TargetMode="External"/><Relationship Id="rId51" Type="http://schemas.openxmlformats.org/officeDocument/2006/relationships/hyperlink" Target="https://www.youtube.com/watch?v=2QCDh5bpBAU" TargetMode="External"/><Relationship Id="rId72" Type="http://schemas.openxmlformats.org/officeDocument/2006/relationships/hyperlink" Target="https://www.youtube.com/watch?v=-2YrpCsEoK4" TargetMode="External"/><Relationship Id="rId93" Type="http://schemas.openxmlformats.org/officeDocument/2006/relationships/hyperlink" Target="https://www.youtube.com/watch?v=79Wtw8vBQnI" TargetMode="External"/><Relationship Id="rId189" Type="http://schemas.openxmlformats.org/officeDocument/2006/relationships/hyperlink" Target="https://www.youtube.com/watch?v=KK5FxyFAleg" TargetMode="External"/><Relationship Id="rId3" Type="http://schemas.openxmlformats.org/officeDocument/2006/relationships/hyperlink" Target="https://www.youtube.com/watch?v=U1dPHTQJb7E" TargetMode="External"/><Relationship Id="rId214" Type="http://schemas.openxmlformats.org/officeDocument/2006/relationships/hyperlink" Target="https://www.youtube.com/watch?v=AwIxKx2YCFY" TargetMode="External"/><Relationship Id="rId235" Type="http://schemas.openxmlformats.org/officeDocument/2006/relationships/hyperlink" Target="https://www.youtube.com/watch?v=JU5NPoYQaUk" TargetMode="External"/><Relationship Id="rId256" Type="http://schemas.openxmlformats.org/officeDocument/2006/relationships/hyperlink" Target="https://www.youtube.com/watch?v=wKJxezrwZis" TargetMode="External"/><Relationship Id="rId277" Type="http://schemas.openxmlformats.org/officeDocument/2006/relationships/hyperlink" Target="https://www.youtube.com/watch?v=MCpBT_U8daQ" TargetMode="External"/><Relationship Id="rId298" Type="http://schemas.openxmlformats.org/officeDocument/2006/relationships/hyperlink" Target="https://www.youtube.com/watch?v=toz9Ilo5om0" TargetMode="External"/><Relationship Id="rId116" Type="http://schemas.openxmlformats.org/officeDocument/2006/relationships/hyperlink" Target="https://www.youtube.com/watch?v=uWAyAU-GmlA" TargetMode="External"/><Relationship Id="rId137" Type="http://schemas.openxmlformats.org/officeDocument/2006/relationships/hyperlink" Target="https://www.youtube.com/watch?v=2_YTnsOnFQ0" TargetMode="External"/><Relationship Id="rId158" Type="http://schemas.openxmlformats.org/officeDocument/2006/relationships/hyperlink" Target="https://www.youtube.com/watch?v=QuTb8IK0Ee0" TargetMode="External"/><Relationship Id="rId302" Type="http://schemas.openxmlformats.org/officeDocument/2006/relationships/hyperlink" Target="https://www.youtube.com/watch?v=DhF7lRLGob0" TargetMode="External"/><Relationship Id="rId20" Type="http://schemas.openxmlformats.org/officeDocument/2006/relationships/hyperlink" Target="https://www.youtube.com/watch?v=Z8AETciUwxU" TargetMode="External"/><Relationship Id="rId41" Type="http://schemas.openxmlformats.org/officeDocument/2006/relationships/hyperlink" Target="https://www.youtube.com/watch?v=MdNZvWa8mDI" TargetMode="External"/><Relationship Id="rId62" Type="http://schemas.openxmlformats.org/officeDocument/2006/relationships/hyperlink" Target="https://www.youtube.com/watch?v=ol7TCJmcswI" TargetMode="External"/><Relationship Id="rId83" Type="http://schemas.openxmlformats.org/officeDocument/2006/relationships/hyperlink" Target="https://www.youtube.com/watch?v=OgOFq-iRuUY" TargetMode="External"/><Relationship Id="rId179" Type="http://schemas.openxmlformats.org/officeDocument/2006/relationships/hyperlink" Target="https://www.youtube.com/watch?v=CKDB5E3NbvM" TargetMode="External"/><Relationship Id="rId190" Type="http://schemas.openxmlformats.org/officeDocument/2006/relationships/hyperlink" Target="https://www.youtube.com/watch?v=GvfANw1AOaw" TargetMode="External"/><Relationship Id="rId204" Type="http://schemas.openxmlformats.org/officeDocument/2006/relationships/hyperlink" Target="https://www.youtube.com/watch?v=khpSKAprYHo" TargetMode="External"/><Relationship Id="rId225" Type="http://schemas.openxmlformats.org/officeDocument/2006/relationships/hyperlink" Target="https://www.youtube.com/watch?v=-821mQFAGCs" TargetMode="External"/><Relationship Id="rId246" Type="http://schemas.openxmlformats.org/officeDocument/2006/relationships/hyperlink" Target="https://www.youtube.com/watch?v=cnV0NTqowjw" TargetMode="External"/><Relationship Id="rId267" Type="http://schemas.openxmlformats.org/officeDocument/2006/relationships/hyperlink" Target="https://www.youtube.com/watch?v=fvyxa2xwkio" TargetMode="External"/><Relationship Id="rId288" Type="http://schemas.openxmlformats.org/officeDocument/2006/relationships/hyperlink" Target="https://www.youtube.com/watch?v=y_yrOsulKOA" TargetMode="External"/><Relationship Id="rId106" Type="http://schemas.openxmlformats.org/officeDocument/2006/relationships/hyperlink" Target="https://www.youtube.com/watch?v=X7Y2qPQvgUo" TargetMode="External"/><Relationship Id="rId127" Type="http://schemas.openxmlformats.org/officeDocument/2006/relationships/hyperlink" Target="https://www.youtube.com/watch?v=0I1-3VVNURQ" TargetMode="External"/><Relationship Id="rId313" Type="http://schemas.openxmlformats.org/officeDocument/2006/relationships/hyperlink" Target="https://www.youtube.com/watch?v=lTVr-xE6fTU" TargetMode="External"/><Relationship Id="rId10" Type="http://schemas.openxmlformats.org/officeDocument/2006/relationships/hyperlink" Target="https://www.youtube.com/watch?v=wFn7OYcRv4Y" TargetMode="External"/><Relationship Id="rId31" Type="http://schemas.openxmlformats.org/officeDocument/2006/relationships/hyperlink" Target="https://www.youtube.com/watch?v=4-Ukx2veXMo" TargetMode="External"/><Relationship Id="rId52" Type="http://schemas.openxmlformats.org/officeDocument/2006/relationships/hyperlink" Target="https://www.youtube.com/watch?v=mcSt1Cy_zdc" TargetMode="External"/><Relationship Id="rId73" Type="http://schemas.openxmlformats.org/officeDocument/2006/relationships/hyperlink" Target="https://www.youtube.com/watch?v=I1A9woKs6fo" TargetMode="External"/><Relationship Id="rId94" Type="http://schemas.openxmlformats.org/officeDocument/2006/relationships/hyperlink" Target="https://www.youtube.com/watch?v=MonOkK3bP5Y" TargetMode="External"/><Relationship Id="rId148" Type="http://schemas.openxmlformats.org/officeDocument/2006/relationships/hyperlink" Target="https://www.youtube.com/watch?v=OvRE0mLDOko" TargetMode="External"/><Relationship Id="rId169" Type="http://schemas.openxmlformats.org/officeDocument/2006/relationships/hyperlink" Target="https://www.youtube.com/watch?v=K3n9iEInEJI" TargetMode="External"/><Relationship Id="rId4" Type="http://schemas.openxmlformats.org/officeDocument/2006/relationships/hyperlink" Target="https://www.youtube.com/watch?v=3qqNm9AFpjI" TargetMode="External"/><Relationship Id="rId180" Type="http://schemas.openxmlformats.org/officeDocument/2006/relationships/hyperlink" Target="https://www.youtube.com/watch?v=1Cu44OMWlnk" TargetMode="External"/><Relationship Id="rId215" Type="http://schemas.openxmlformats.org/officeDocument/2006/relationships/hyperlink" Target="https://www.youtube.com/watch?v=86EY_ctWCJ4" TargetMode="External"/><Relationship Id="rId236" Type="http://schemas.openxmlformats.org/officeDocument/2006/relationships/hyperlink" Target="https://www.youtube.com/watch?v=RNM11Ix_7uw" TargetMode="External"/><Relationship Id="rId257" Type="http://schemas.openxmlformats.org/officeDocument/2006/relationships/hyperlink" Target="https://www.youtube.com/watch?v=mU9fyxjwUeA" TargetMode="External"/><Relationship Id="rId278" Type="http://schemas.openxmlformats.org/officeDocument/2006/relationships/hyperlink" Target="https://www.youtube.com/watch?v=eaneFYbeJmc" TargetMode="External"/><Relationship Id="rId303" Type="http://schemas.openxmlformats.org/officeDocument/2006/relationships/hyperlink" Target="https://youtu.be/mwRyr1iOIHk" TargetMode="External"/><Relationship Id="rId42" Type="http://schemas.openxmlformats.org/officeDocument/2006/relationships/hyperlink" Target="https://www.youtube.com/watch?v=ncTTsng_BG0" TargetMode="External"/><Relationship Id="rId84" Type="http://schemas.openxmlformats.org/officeDocument/2006/relationships/hyperlink" Target="https://www.youtube.com/watch?v=65CV9EYU3ug" TargetMode="External"/><Relationship Id="rId138" Type="http://schemas.openxmlformats.org/officeDocument/2006/relationships/hyperlink" Target="https://www.youtube.com/watch?v=FmMAzl6Ty70" TargetMode="External"/><Relationship Id="rId191" Type="http://schemas.openxmlformats.org/officeDocument/2006/relationships/hyperlink" Target="https://www.youtube.com/watch?v=79Wtw8vBQnI" TargetMode="External"/><Relationship Id="rId205" Type="http://schemas.openxmlformats.org/officeDocument/2006/relationships/hyperlink" Target="https://www.youtube.com/watch?v=jpluUP3QhMc" TargetMode="External"/><Relationship Id="rId247" Type="http://schemas.openxmlformats.org/officeDocument/2006/relationships/hyperlink" Target="https://www.youtube.com/watch?v=TC7LMWqRqcQ" TargetMode="External"/><Relationship Id="rId107" Type="http://schemas.openxmlformats.org/officeDocument/2006/relationships/hyperlink" Target="https://www.youtube.com/watch?v=fL2ibAlnP-0" TargetMode="External"/><Relationship Id="rId289" Type="http://schemas.openxmlformats.org/officeDocument/2006/relationships/hyperlink" Target="https://www.youtube.com/watch?v=9hVJXEAV31c" TargetMode="External"/><Relationship Id="rId11" Type="http://schemas.openxmlformats.org/officeDocument/2006/relationships/hyperlink" Target="https://www.youtube.com/watch?v=gvYJYcmnDVg" TargetMode="External"/><Relationship Id="rId53" Type="http://schemas.openxmlformats.org/officeDocument/2006/relationships/hyperlink" Target="https://www.youtube.com/watch?v=zmWkytuXfAE" TargetMode="External"/><Relationship Id="rId149" Type="http://schemas.openxmlformats.org/officeDocument/2006/relationships/hyperlink" Target="https://www.youtube.com/watch?v=8wfaiuf87OQ" TargetMode="External"/><Relationship Id="rId314" Type="http://schemas.openxmlformats.org/officeDocument/2006/relationships/hyperlink" Target="https://www.youtube.com/watch?v=SKOuLdXvGdY" TargetMode="External"/><Relationship Id="rId95" Type="http://schemas.openxmlformats.org/officeDocument/2006/relationships/hyperlink" Target="https://www.youtube.com/watch?v=IsFjPsR7Sa8" TargetMode="External"/><Relationship Id="rId160" Type="http://schemas.openxmlformats.org/officeDocument/2006/relationships/hyperlink" Target="https://www.youtube.com/watch?v=qA8bCdY2-HQ" TargetMode="External"/><Relationship Id="rId216" Type="http://schemas.openxmlformats.org/officeDocument/2006/relationships/hyperlink" Target="https://www.youtube.com/watch?v=zsFJ5gTfQ70" TargetMode="External"/><Relationship Id="rId258" Type="http://schemas.openxmlformats.org/officeDocument/2006/relationships/hyperlink" Target="https://www.youtube.com/watch?v=yWqSTqfKoiI" TargetMode="External"/><Relationship Id="rId22" Type="http://schemas.openxmlformats.org/officeDocument/2006/relationships/hyperlink" Target="https://www.youtube.com/watch?v=6vZcVAWruh8" TargetMode="External"/><Relationship Id="rId64" Type="http://schemas.openxmlformats.org/officeDocument/2006/relationships/hyperlink" Target="https://www.youtube.com/watch?v=7b3nlaX7m0Y" TargetMode="External"/><Relationship Id="rId118" Type="http://schemas.openxmlformats.org/officeDocument/2006/relationships/hyperlink" Target="https://www.youtube.com/watch?v=S-9q-h7SC3U" TargetMode="External"/><Relationship Id="rId171" Type="http://schemas.openxmlformats.org/officeDocument/2006/relationships/hyperlink" Target="https://www.youtube.com/watch?v=4HLrrGaiHRE" TargetMode="External"/><Relationship Id="rId227" Type="http://schemas.openxmlformats.org/officeDocument/2006/relationships/hyperlink" Target="https://www.youtube.com/watch?v=Nd_J1HlfoD8" TargetMode="External"/><Relationship Id="rId269" Type="http://schemas.openxmlformats.org/officeDocument/2006/relationships/hyperlink" Target="https://www.youtube.com/watch?v=6doNtSDKKyg" TargetMode="External"/><Relationship Id="rId33" Type="http://schemas.openxmlformats.org/officeDocument/2006/relationships/hyperlink" Target="https://www.youtube.com/watch?v=wUs1e7i8hfg" TargetMode="External"/><Relationship Id="rId129" Type="http://schemas.openxmlformats.org/officeDocument/2006/relationships/hyperlink" Target="https://www.youtube.com/watch?v=XWrRMW_HvZE" TargetMode="External"/><Relationship Id="rId280" Type="http://schemas.openxmlformats.org/officeDocument/2006/relationships/hyperlink" Target="https://www.youtube.com/watch?v=1iMZiwARv8A" TargetMode="External"/><Relationship Id="rId75" Type="http://schemas.openxmlformats.org/officeDocument/2006/relationships/hyperlink" Target="https://www.youtube.com/watch?v=r39tvTwtULE" TargetMode="External"/><Relationship Id="rId140" Type="http://schemas.openxmlformats.org/officeDocument/2006/relationships/hyperlink" Target="https://www.youtube.com/watch?v=Vorpjt0rBR8" TargetMode="External"/><Relationship Id="rId182" Type="http://schemas.openxmlformats.org/officeDocument/2006/relationships/hyperlink" Target="https://www.youtube.com/watch?v=Bvh4gY4MDHg" TargetMode="External"/><Relationship Id="rId6" Type="http://schemas.openxmlformats.org/officeDocument/2006/relationships/hyperlink" Target="https://www.youtube.com/watch?v=I96CMNI22tk" TargetMode="External"/><Relationship Id="rId238" Type="http://schemas.openxmlformats.org/officeDocument/2006/relationships/hyperlink" Target="https://www.youtube.com/watch?v=HujGytlPE1c" TargetMode="External"/><Relationship Id="rId291" Type="http://schemas.openxmlformats.org/officeDocument/2006/relationships/hyperlink" Target="https://www.youtube.com/watch?v=GW-gn7YWr3Q" TargetMode="External"/><Relationship Id="rId305" Type="http://schemas.openxmlformats.org/officeDocument/2006/relationships/hyperlink" Target="https://www.youtube.com/watch?v=b4ijch3YLHc" TargetMode="External"/><Relationship Id="rId44" Type="http://schemas.openxmlformats.org/officeDocument/2006/relationships/hyperlink" Target="https://www.youtube.com/watch?v=wPfYi3go1kY" TargetMode="External"/><Relationship Id="rId86" Type="http://schemas.openxmlformats.org/officeDocument/2006/relationships/hyperlink" Target="https://www.youtube.com/watch?v=h4i9w3JDUy4" TargetMode="External"/><Relationship Id="rId151" Type="http://schemas.openxmlformats.org/officeDocument/2006/relationships/hyperlink" Target="https://www.youtube.com/watch?v=MikO5HlkUSA" TargetMode="External"/><Relationship Id="rId193" Type="http://schemas.openxmlformats.org/officeDocument/2006/relationships/hyperlink" Target="https://www.youtube.com/watch?v=okbmBWNiul4" TargetMode="External"/><Relationship Id="rId207" Type="http://schemas.openxmlformats.org/officeDocument/2006/relationships/hyperlink" Target="https://www.youtube.com/watch?v=MikO5HlkUSA" TargetMode="External"/><Relationship Id="rId249" Type="http://schemas.openxmlformats.org/officeDocument/2006/relationships/hyperlink" Target="https://www.youtube.com/watch?v=iCMWWxjoCxM"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57"/>
  <sheetViews>
    <sheetView topLeftCell="A8" workbookViewId="0">
      <selection activeCell="D23" sqref="D23"/>
    </sheetView>
  </sheetViews>
  <sheetFormatPr baseColWidth="10" defaultColWidth="8.88671875" defaultRowHeight="14.4" x14ac:dyDescent="0.3"/>
  <cols>
    <col min="1" max="1" width="4" customWidth="1"/>
    <col min="2" max="2" width="6" customWidth="1"/>
    <col min="3" max="3" width="50" customWidth="1"/>
    <col min="4" max="4" width="22" customWidth="1"/>
  </cols>
  <sheetData>
    <row r="1" spans="2:4" ht="10.050000000000001" customHeight="1" x14ac:dyDescent="0.3"/>
    <row r="2" spans="2:4" ht="36" customHeight="1" x14ac:dyDescent="0.3">
      <c r="B2" s="90" t="s">
        <v>600</v>
      </c>
      <c r="C2" s="87"/>
      <c r="D2" s="87"/>
    </row>
    <row r="3" spans="2:4" ht="22.05" customHeight="1" x14ac:dyDescent="0.3">
      <c r="B3" s="89" t="s">
        <v>736</v>
      </c>
      <c r="C3" s="87"/>
      <c r="D3" s="87"/>
    </row>
    <row r="4" spans="2:4" ht="7.95" customHeight="1" x14ac:dyDescent="0.3"/>
    <row r="5" spans="2:4" ht="19.95" customHeight="1" x14ac:dyDescent="0.3">
      <c r="B5" s="25" t="s">
        <v>601</v>
      </c>
      <c r="C5" s="26" t="s">
        <v>602</v>
      </c>
      <c r="D5" s="25" t="s">
        <v>603</v>
      </c>
    </row>
    <row r="6" spans="2:4" ht="22.05" customHeight="1" x14ac:dyDescent="0.3">
      <c r="B6" s="27">
        <f>ROW()-5</f>
        <v>1</v>
      </c>
      <c r="C6" s="28" t="s">
        <v>8</v>
      </c>
      <c r="D6" s="29" t="s">
        <v>604</v>
      </c>
    </row>
    <row r="7" spans="2:4" ht="22.05" customHeight="1" x14ac:dyDescent="0.3">
      <c r="B7" s="30">
        <f t="shared" ref="B7:B53" si="0">ROW()-5</f>
        <v>2</v>
      </c>
      <c r="C7" s="31" t="s">
        <v>27</v>
      </c>
      <c r="D7" s="29" t="s">
        <v>604</v>
      </c>
    </row>
    <row r="8" spans="2:4" ht="22.05" customHeight="1" x14ac:dyDescent="0.3">
      <c r="B8" s="27">
        <f t="shared" si="0"/>
        <v>3</v>
      </c>
      <c r="C8" s="28" t="s">
        <v>87</v>
      </c>
      <c r="D8" s="29" t="s">
        <v>604</v>
      </c>
    </row>
    <row r="9" spans="2:4" ht="22.05" customHeight="1" x14ac:dyDescent="0.3">
      <c r="B9" s="30">
        <f t="shared" si="0"/>
        <v>4</v>
      </c>
      <c r="C9" s="31" t="s">
        <v>97</v>
      </c>
      <c r="D9" s="29" t="s">
        <v>604</v>
      </c>
    </row>
    <row r="10" spans="2:4" ht="22.05" customHeight="1" x14ac:dyDescent="0.3">
      <c r="B10" s="27">
        <f t="shared" si="0"/>
        <v>5</v>
      </c>
      <c r="C10" s="28" t="s">
        <v>130</v>
      </c>
      <c r="D10" s="29" t="s">
        <v>604</v>
      </c>
    </row>
    <row r="11" spans="2:4" ht="22.05" customHeight="1" x14ac:dyDescent="0.3">
      <c r="B11" s="30">
        <f t="shared" si="0"/>
        <v>6</v>
      </c>
      <c r="C11" s="31" t="s">
        <v>142</v>
      </c>
      <c r="D11" s="29" t="s">
        <v>604</v>
      </c>
    </row>
    <row r="12" spans="2:4" ht="22.05" customHeight="1" x14ac:dyDescent="0.3">
      <c r="B12" s="27">
        <f t="shared" si="0"/>
        <v>7</v>
      </c>
      <c r="C12" s="28" t="s">
        <v>156</v>
      </c>
      <c r="D12" s="29" t="s">
        <v>604</v>
      </c>
    </row>
    <row r="13" spans="2:4" ht="22.05" customHeight="1" x14ac:dyDescent="0.3">
      <c r="B13" s="30">
        <f t="shared" si="0"/>
        <v>8</v>
      </c>
      <c r="C13" s="31" t="s">
        <v>161</v>
      </c>
      <c r="D13" s="29" t="s">
        <v>604</v>
      </c>
    </row>
    <row r="14" spans="2:4" ht="22.05" customHeight="1" x14ac:dyDescent="0.3">
      <c r="B14" s="27">
        <f t="shared" si="0"/>
        <v>9</v>
      </c>
      <c r="C14" s="28" t="s">
        <v>165</v>
      </c>
      <c r="D14" s="29" t="s">
        <v>604</v>
      </c>
    </row>
    <row r="15" spans="2:4" ht="22.05" customHeight="1" x14ac:dyDescent="0.3">
      <c r="B15" s="30">
        <f t="shared" si="0"/>
        <v>10</v>
      </c>
      <c r="C15" s="31" t="s">
        <v>179</v>
      </c>
      <c r="D15" s="29" t="s">
        <v>604</v>
      </c>
    </row>
    <row r="16" spans="2:4" ht="22.05" customHeight="1" x14ac:dyDescent="0.3">
      <c r="B16" s="27">
        <f t="shared" si="0"/>
        <v>11</v>
      </c>
      <c r="C16" s="28" t="s">
        <v>186</v>
      </c>
      <c r="D16" s="29" t="s">
        <v>604</v>
      </c>
    </row>
    <row r="17" spans="2:4" ht="22.05" customHeight="1" x14ac:dyDescent="0.3">
      <c r="B17" s="30">
        <f t="shared" si="0"/>
        <v>12</v>
      </c>
      <c r="C17" s="31" t="s">
        <v>196</v>
      </c>
      <c r="D17" s="29" t="s">
        <v>604</v>
      </c>
    </row>
    <row r="18" spans="2:4" ht="22.05" customHeight="1" x14ac:dyDescent="0.3">
      <c r="B18" s="27">
        <f t="shared" si="0"/>
        <v>13</v>
      </c>
      <c r="C18" s="28" t="s">
        <v>212</v>
      </c>
      <c r="D18" s="29" t="s">
        <v>604</v>
      </c>
    </row>
    <row r="19" spans="2:4" ht="22.05" customHeight="1" x14ac:dyDescent="0.3">
      <c r="B19" s="30">
        <f t="shared" si="0"/>
        <v>14</v>
      </c>
      <c r="C19" s="31" t="s">
        <v>223</v>
      </c>
      <c r="D19" s="29" t="s">
        <v>604</v>
      </c>
    </row>
    <row r="20" spans="2:4" ht="22.05" customHeight="1" x14ac:dyDescent="0.3">
      <c r="B20" s="27">
        <f t="shared" si="0"/>
        <v>15</v>
      </c>
      <c r="C20" s="28" t="s">
        <v>231</v>
      </c>
      <c r="D20" s="29" t="s">
        <v>604</v>
      </c>
    </row>
    <row r="21" spans="2:4" ht="22.05" customHeight="1" x14ac:dyDescent="0.3">
      <c r="B21" s="30">
        <f t="shared" si="0"/>
        <v>16</v>
      </c>
      <c r="C21" s="31" t="s">
        <v>238</v>
      </c>
      <c r="D21" s="29" t="s">
        <v>604</v>
      </c>
    </row>
    <row r="22" spans="2:4" ht="22.05" customHeight="1" x14ac:dyDescent="0.3">
      <c r="B22" s="27">
        <f t="shared" si="0"/>
        <v>17</v>
      </c>
      <c r="C22" s="28" t="s">
        <v>242</v>
      </c>
      <c r="D22" s="29" t="s">
        <v>604</v>
      </c>
    </row>
    <row r="23" spans="2:4" ht="22.05" customHeight="1" x14ac:dyDescent="0.3">
      <c r="B23" s="30">
        <f t="shared" si="0"/>
        <v>18</v>
      </c>
      <c r="C23" s="31" t="s">
        <v>247</v>
      </c>
      <c r="D23" s="29" t="s">
        <v>604</v>
      </c>
    </row>
    <row r="24" spans="2:4" ht="22.05" customHeight="1" x14ac:dyDescent="0.3">
      <c r="B24" s="27">
        <f t="shared" si="0"/>
        <v>19</v>
      </c>
      <c r="C24" s="28" t="s">
        <v>253</v>
      </c>
      <c r="D24" s="29" t="s">
        <v>604</v>
      </c>
    </row>
    <row r="25" spans="2:4" ht="22.05" customHeight="1" x14ac:dyDescent="0.3">
      <c r="B25" s="30">
        <f t="shared" si="0"/>
        <v>20</v>
      </c>
      <c r="C25" s="31" t="s">
        <v>277</v>
      </c>
      <c r="D25" s="29" t="s">
        <v>604</v>
      </c>
    </row>
    <row r="26" spans="2:4" ht="22.05" customHeight="1" x14ac:dyDescent="0.3">
      <c r="B26" s="27">
        <f t="shared" si="0"/>
        <v>21</v>
      </c>
      <c r="C26" s="28" t="s">
        <v>287</v>
      </c>
      <c r="D26" s="29" t="s">
        <v>604</v>
      </c>
    </row>
    <row r="27" spans="2:4" ht="22.05" customHeight="1" x14ac:dyDescent="0.3">
      <c r="B27" s="30">
        <f t="shared" si="0"/>
        <v>22</v>
      </c>
      <c r="C27" s="31" t="s">
        <v>305</v>
      </c>
      <c r="D27" s="29" t="s">
        <v>604</v>
      </c>
    </row>
    <row r="28" spans="2:4" ht="22.05" customHeight="1" x14ac:dyDescent="0.3">
      <c r="B28" s="27">
        <f t="shared" si="0"/>
        <v>23</v>
      </c>
      <c r="C28" s="28" t="s">
        <v>315</v>
      </c>
      <c r="D28" s="29" t="s">
        <v>604</v>
      </c>
    </row>
    <row r="29" spans="2:4" ht="22.05" customHeight="1" x14ac:dyDescent="0.3">
      <c r="B29" s="30">
        <f t="shared" si="0"/>
        <v>24</v>
      </c>
      <c r="C29" s="31" t="s">
        <v>327</v>
      </c>
      <c r="D29" s="29" t="s">
        <v>604</v>
      </c>
    </row>
    <row r="30" spans="2:4" ht="22.05" customHeight="1" x14ac:dyDescent="0.3">
      <c r="B30" s="27">
        <f t="shared" si="0"/>
        <v>25</v>
      </c>
      <c r="C30" s="28" t="s">
        <v>333</v>
      </c>
      <c r="D30" s="29" t="s">
        <v>604</v>
      </c>
    </row>
    <row r="31" spans="2:4" ht="22.05" customHeight="1" x14ac:dyDescent="0.3">
      <c r="B31" s="30">
        <f t="shared" si="0"/>
        <v>26</v>
      </c>
      <c r="C31" s="31" t="s">
        <v>341</v>
      </c>
      <c r="D31" s="29" t="s">
        <v>604</v>
      </c>
    </row>
    <row r="32" spans="2:4" ht="22.05" customHeight="1" x14ac:dyDescent="0.3">
      <c r="B32" s="27">
        <f t="shared" si="0"/>
        <v>27</v>
      </c>
      <c r="C32" s="28" t="s">
        <v>380</v>
      </c>
      <c r="D32" s="29" t="s">
        <v>604</v>
      </c>
    </row>
    <row r="33" spans="2:4" ht="22.05" customHeight="1" x14ac:dyDescent="0.3">
      <c r="B33" s="30">
        <f t="shared" si="0"/>
        <v>28</v>
      </c>
      <c r="C33" s="31" t="s">
        <v>392</v>
      </c>
      <c r="D33" s="29" t="s">
        <v>604</v>
      </c>
    </row>
    <row r="34" spans="2:4" ht="22.05" customHeight="1" x14ac:dyDescent="0.3">
      <c r="B34" s="27">
        <f t="shared" si="0"/>
        <v>29</v>
      </c>
      <c r="C34" s="28" t="s">
        <v>404</v>
      </c>
      <c r="D34" s="29" t="s">
        <v>604</v>
      </c>
    </row>
    <row r="35" spans="2:4" ht="22.05" customHeight="1" x14ac:dyDescent="0.3">
      <c r="B35" s="30">
        <f t="shared" si="0"/>
        <v>30</v>
      </c>
      <c r="C35" s="31" t="s">
        <v>425</v>
      </c>
      <c r="D35" s="29" t="s">
        <v>604</v>
      </c>
    </row>
    <row r="36" spans="2:4" ht="22.05" customHeight="1" x14ac:dyDescent="0.3">
      <c r="B36" s="27">
        <f t="shared" si="0"/>
        <v>31</v>
      </c>
      <c r="C36" s="28" t="s">
        <v>433</v>
      </c>
      <c r="D36" s="29" t="s">
        <v>604</v>
      </c>
    </row>
    <row r="37" spans="2:4" ht="22.05" customHeight="1" x14ac:dyDescent="0.3">
      <c r="B37" s="30">
        <f t="shared" si="0"/>
        <v>32</v>
      </c>
      <c r="C37" s="31" t="s">
        <v>443</v>
      </c>
      <c r="D37" s="29" t="s">
        <v>604</v>
      </c>
    </row>
    <row r="38" spans="2:4" ht="22.05" customHeight="1" x14ac:dyDescent="0.3">
      <c r="B38" s="27">
        <f t="shared" si="0"/>
        <v>33</v>
      </c>
      <c r="C38" s="28" t="s">
        <v>454</v>
      </c>
      <c r="D38" s="29" t="s">
        <v>604</v>
      </c>
    </row>
    <row r="39" spans="2:4" ht="22.05" customHeight="1" x14ac:dyDescent="0.3">
      <c r="B39" s="30">
        <f t="shared" si="0"/>
        <v>34</v>
      </c>
      <c r="C39" s="31" t="s">
        <v>462</v>
      </c>
      <c r="D39" s="29" t="s">
        <v>604</v>
      </c>
    </row>
    <row r="40" spans="2:4" ht="22.05" customHeight="1" x14ac:dyDescent="0.3">
      <c r="B40" s="27">
        <f t="shared" si="0"/>
        <v>35</v>
      </c>
      <c r="C40" s="28" t="s">
        <v>532</v>
      </c>
      <c r="D40" s="29" t="s">
        <v>604</v>
      </c>
    </row>
    <row r="41" spans="2:4" ht="22.05" customHeight="1" x14ac:dyDescent="0.3">
      <c r="B41" s="30">
        <f t="shared" si="0"/>
        <v>36</v>
      </c>
      <c r="C41" s="31" t="s">
        <v>541</v>
      </c>
      <c r="D41" s="29" t="s">
        <v>604</v>
      </c>
    </row>
    <row r="42" spans="2:4" ht="22.05" customHeight="1" x14ac:dyDescent="0.3">
      <c r="B42" s="27">
        <f t="shared" si="0"/>
        <v>37</v>
      </c>
      <c r="C42" s="28" t="s">
        <v>548</v>
      </c>
      <c r="D42" s="29" t="s">
        <v>604</v>
      </c>
    </row>
    <row r="43" spans="2:4" ht="22.05" customHeight="1" x14ac:dyDescent="0.3">
      <c r="B43" s="69">
        <f t="shared" si="0"/>
        <v>38</v>
      </c>
      <c r="C43" s="67" t="s">
        <v>579</v>
      </c>
      <c r="D43" s="68" t="s">
        <v>604</v>
      </c>
    </row>
    <row r="44" spans="2:4" ht="22.05" customHeight="1" x14ac:dyDescent="0.3">
      <c r="B44" s="35">
        <f t="shared" si="0"/>
        <v>39</v>
      </c>
      <c r="C44" s="36" t="s">
        <v>606</v>
      </c>
      <c r="D44" s="34" t="s">
        <v>605</v>
      </c>
    </row>
    <row r="45" spans="2:4" ht="22.05" customHeight="1" x14ac:dyDescent="0.3">
      <c r="B45" s="32">
        <f t="shared" si="0"/>
        <v>40</v>
      </c>
      <c r="C45" s="33" t="s">
        <v>607</v>
      </c>
      <c r="D45" s="34" t="s">
        <v>605</v>
      </c>
    </row>
    <row r="46" spans="2:4" ht="22.05" customHeight="1" x14ac:dyDescent="0.3">
      <c r="B46" s="32">
        <f t="shared" si="0"/>
        <v>41</v>
      </c>
      <c r="C46" s="33" t="s">
        <v>608</v>
      </c>
      <c r="D46" s="34" t="s">
        <v>605</v>
      </c>
    </row>
    <row r="47" spans="2:4" ht="22.05" customHeight="1" x14ac:dyDescent="0.3">
      <c r="B47" s="35">
        <f t="shared" si="0"/>
        <v>42</v>
      </c>
      <c r="C47" s="36" t="s">
        <v>609</v>
      </c>
      <c r="D47" s="34" t="s">
        <v>605</v>
      </c>
    </row>
    <row r="48" spans="2:4" ht="22.05" customHeight="1" x14ac:dyDescent="0.3">
      <c r="B48" s="69">
        <f t="shared" si="0"/>
        <v>43</v>
      </c>
      <c r="C48" s="79" t="s">
        <v>588</v>
      </c>
      <c r="D48" s="80" t="s">
        <v>604</v>
      </c>
    </row>
    <row r="49" spans="2:4" ht="22.05" customHeight="1" x14ac:dyDescent="0.3">
      <c r="B49" s="81">
        <f t="shared" si="0"/>
        <v>44</v>
      </c>
      <c r="C49" s="82" t="s">
        <v>590</v>
      </c>
      <c r="D49" s="80" t="s">
        <v>604</v>
      </c>
    </row>
    <row r="50" spans="2:4" ht="22.05" customHeight="1" x14ac:dyDescent="0.3">
      <c r="B50" s="30">
        <f t="shared" si="0"/>
        <v>45</v>
      </c>
      <c r="C50" s="79" t="s">
        <v>707</v>
      </c>
      <c r="D50" s="80" t="s">
        <v>604</v>
      </c>
    </row>
    <row r="51" spans="2:4" ht="22.05" customHeight="1" x14ac:dyDescent="0.3">
      <c r="B51" s="35">
        <f t="shared" si="0"/>
        <v>46</v>
      </c>
      <c r="C51" s="85" t="s">
        <v>610</v>
      </c>
      <c r="D51" s="84" t="s">
        <v>605</v>
      </c>
    </row>
    <row r="52" spans="2:4" ht="22.05" customHeight="1" x14ac:dyDescent="0.3">
      <c r="B52" s="35">
        <f t="shared" si="0"/>
        <v>47</v>
      </c>
      <c r="C52" s="85" t="s">
        <v>611</v>
      </c>
      <c r="D52" s="84" t="s">
        <v>605</v>
      </c>
    </row>
    <row r="53" spans="2:4" ht="22.05" customHeight="1" x14ac:dyDescent="0.3">
      <c r="B53" s="32">
        <f t="shared" si="0"/>
        <v>48</v>
      </c>
      <c r="C53" s="83" t="s">
        <v>612</v>
      </c>
      <c r="D53" s="84" t="s">
        <v>605</v>
      </c>
    </row>
    <row r="54" spans="2:4" ht="22.05" customHeight="1" x14ac:dyDescent="0.3"/>
    <row r="57" spans="2:4" ht="16.05" customHeight="1" x14ac:dyDescent="0.3">
      <c r="B57" s="91" t="s">
        <v>737</v>
      </c>
      <c r="C57" s="87"/>
      <c r="D57" s="87"/>
    </row>
  </sheetData>
  <mergeCells count="3">
    <mergeCell ref="B3:D3"/>
    <mergeCell ref="B2:D2"/>
    <mergeCell ref="B57:D57"/>
  </mergeCells>
  <hyperlinks>
    <hyperlink ref="C6" location="'Présentations métiers'!B5" display="Agroalimentaire" xr:uid="{00000000-0004-0000-0000-000000000000}"/>
    <hyperlink ref="D6" location="'Présentations métiers'!B5" display="→ Voir les métiers" xr:uid="{00000000-0004-0000-0000-000001000000}"/>
    <hyperlink ref="C7" location="'Présentations métiers'!B14" display="Agronomie" xr:uid="{00000000-0004-0000-0000-000002000000}"/>
    <hyperlink ref="D7" location="'Présentations métiers'!B14" display="→ Voir les métiers" xr:uid="{00000000-0004-0000-0000-000003000000}"/>
    <hyperlink ref="C8" location="'Présentations métiers'!B45" display="Biochimie" xr:uid="{00000000-0004-0000-0000-000004000000}"/>
    <hyperlink ref="D8" location="'Présentations métiers'!B45" display="→ Voir les métiers" xr:uid="{00000000-0004-0000-0000-000005000000}"/>
    <hyperlink ref="C9" location="'Présentations métiers'!B51" display="Biodiversité" xr:uid="{00000000-0004-0000-0000-000006000000}"/>
    <hyperlink ref="D9" location="'Présentations métiers'!B51" display="→ Voir les métiers" xr:uid="{00000000-0004-0000-0000-000007000000}"/>
    <hyperlink ref="C10" location="'Présentations métiers'!B68" display="Bioinformatique" xr:uid="{00000000-0004-0000-0000-000008000000}"/>
    <hyperlink ref="D10" location="'Présentations métiers'!B68" display="→ Voir les métiers" xr:uid="{00000000-0004-0000-0000-000009000000}"/>
    <hyperlink ref="C11" location="'Présentations métiers'!B75" display="Biologie cellulaire" xr:uid="{00000000-0004-0000-0000-00000A000000}"/>
    <hyperlink ref="D11" location="'Présentations métiers'!B75" display="→ Voir les métiers" xr:uid="{00000000-0004-0000-0000-00000B000000}"/>
    <hyperlink ref="C12" location="'Présentations métiers'!B83" display="Biologie moléculaire" xr:uid="{00000000-0004-0000-0000-00000C000000}"/>
    <hyperlink ref="D12" location="'Présentations métiers'!B83" display="→ Voir les métiers" xr:uid="{00000000-0004-0000-0000-00000D000000}"/>
    <hyperlink ref="C13" location="'Présentations métiers'!B89" display="Biologie végétale" xr:uid="{00000000-0004-0000-0000-00000E000000}"/>
    <hyperlink ref="D13" location="'Présentations métiers'!B89" display="→ Voir les métiers" xr:uid="{00000000-0004-0000-0000-00000F000000}"/>
    <hyperlink ref="C14" location="'Présentations métiers'!B92" display="Biotechnologies" xr:uid="{00000000-0004-0000-0000-000010000000}"/>
    <hyperlink ref="D14" location="'Présentations métiers'!B92" display="→ Voir les métiers" xr:uid="{00000000-0004-0000-0000-000011000000}"/>
    <hyperlink ref="C15" location="'Présentations métiers'!B100" display="Commerce" xr:uid="{00000000-0004-0000-0000-000012000000}"/>
    <hyperlink ref="D15" location="'Présentations métiers'!B100" display="→ Voir les métiers" xr:uid="{00000000-0004-0000-0000-000013000000}"/>
    <hyperlink ref="C16" location="'Présentations métiers'!B104" display="Cosmétique &amp; Dermatologie" xr:uid="{00000000-0004-0000-0000-000014000000}"/>
    <hyperlink ref="D16" location="'Présentations métiers'!B104" display="→ Voir les métiers" xr:uid="{00000000-0004-0000-0000-000015000000}"/>
    <hyperlink ref="C17" location="'Présentations métiers'!B111" display="Data science" xr:uid="{00000000-0004-0000-0000-000016000000}"/>
    <hyperlink ref="D17" location="'Présentations métiers'!B111" display="→ Voir les métiers" xr:uid="{00000000-0004-0000-0000-000017000000}"/>
    <hyperlink ref="C18" location="'Présentations métiers'!B120" display="Droit" xr:uid="{00000000-0004-0000-0000-000018000000}"/>
    <hyperlink ref="D18" location="'Présentations métiers'!B120" display="→ Voir les métiers" xr:uid="{00000000-0004-0000-0000-000019000000}"/>
    <hyperlink ref="C19" location="'Présentations métiers'!B126" display="Epidémiologie" xr:uid="{00000000-0004-0000-0000-00001A000000}"/>
    <hyperlink ref="D19" location="'Présentations métiers'!B126" display="→ Voir les métiers" xr:uid="{00000000-0004-0000-0000-00001B000000}"/>
    <hyperlink ref="C20" location="'Présentations métiers'!B131" display="Ethologie et comportement animal" xr:uid="{00000000-0004-0000-0000-00001C000000}"/>
    <hyperlink ref="D20" location="'Présentations métiers'!B131" display="→ Voir les métiers" xr:uid="{00000000-0004-0000-0000-00001D000000}"/>
    <hyperlink ref="C21" location="'Présentations métiers'!B135" display="Exobiologie" xr:uid="{00000000-0004-0000-0000-00001E000000}"/>
    <hyperlink ref="D21" location="'Présentations métiers'!B135" display="→ Voir les métiers" xr:uid="{00000000-0004-0000-0000-00001F000000}"/>
    <hyperlink ref="C22" location="'Présentations métiers'!B138" display="Finance" xr:uid="{00000000-0004-0000-0000-000020000000}"/>
    <hyperlink ref="D22" location="'Présentations métiers'!B138" display="→ Voir les métiers" xr:uid="{00000000-0004-0000-0000-000021000000}"/>
    <hyperlink ref="C23" location="'Présentations métiers'!B141" display="Forêts" xr:uid="{00000000-0004-0000-0000-000022000000}"/>
    <hyperlink ref="D23" location="'Présentations métiers'!B141" display="→ Voir les métiers" xr:uid="{00000000-0004-0000-0000-000023000000}"/>
    <hyperlink ref="C24" location="'Présentations métiers'!B146" display="Génétique" xr:uid="{00000000-0004-0000-0000-000024000000}"/>
    <hyperlink ref="D24" location="'Présentations métiers'!B146" display="→ Voir les métiers" xr:uid="{00000000-0004-0000-0000-000025000000}"/>
    <hyperlink ref="C25" location="'Présentations métiers'!B160" display="Géosciences" xr:uid="{00000000-0004-0000-0000-000026000000}"/>
    <hyperlink ref="D25" location="'Présentations métiers'!B160" display="→ Voir les métiers" xr:uid="{00000000-0004-0000-0000-000027000000}"/>
    <hyperlink ref="C26" location="'Présentations métiers'!B166" display="Géotechnique" xr:uid="{00000000-0004-0000-0000-000028000000}"/>
    <hyperlink ref="D26" location="'Présentations métiers'!B166" display="→ Voir les métiers" xr:uid="{00000000-0004-0000-0000-000029000000}"/>
    <hyperlink ref="C27" location="'Présentations métiers'!B176" display="Hydrogéologie" xr:uid="{00000000-0004-0000-0000-00002A000000}"/>
    <hyperlink ref="D27" location="'Présentations métiers'!B176" display="→ Voir les métiers" xr:uid="{00000000-0004-0000-0000-00002B000000}"/>
    <hyperlink ref="C28" location="'Présentations métiers'!B182" display="Météorologie" xr:uid="{00000000-0004-0000-0000-00002C000000}"/>
    <hyperlink ref="D28" location="'Présentations métiers'!B182" display="→ Voir les métiers" xr:uid="{00000000-0004-0000-0000-00002D000000}"/>
    <hyperlink ref="C29" location="'Présentations métiers'!B189" display="Missions scientifiques" xr:uid="{00000000-0004-0000-0000-00002E000000}"/>
    <hyperlink ref="D29" location="'Présentations métiers'!B189" display="→ Voir les métiers" xr:uid="{00000000-0004-0000-0000-00002F000000}"/>
    <hyperlink ref="C30" location="'Présentations métiers'!B193" display="Neurosciences" xr:uid="{00000000-0004-0000-0000-000030000000}"/>
    <hyperlink ref="D30" location="'Présentations métiers'!B193" display="→ Voir les métiers" xr:uid="{00000000-0004-0000-0000-000031000000}"/>
    <hyperlink ref="C31" location="'Présentations métiers'!B198" display="Océanographie" xr:uid="{00000000-0004-0000-0000-000032000000}"/>
    <hyperlink ref="D31" location="'Présentations métiers'!B198" display="→ Voir les métiers" xr:uid="{00000000-0004-0000-0000-000033000000}"/>
    <hyperlink ref="C32" location="'Présentations métiers'!B220" display="Optique &amp; Vision" xr:uid="{00000000-0004-0000-0000-000034000000}"/>
    <hyperlink ref="D32" location="'Présentations métiers'!B220" display="→ Voir les métiers" xr:uid="{00000000-0004-0000-0000-000035000000}"/>
    <hyperlink ref="C33" location="'Présentations métiers'!B227" display="Paléontologie" xr:uid="{00000000-0004-0000-0000-000036000000}"/>
    <hyperlink ref="D33" location="'Présentations métiers'!B227" display="→ Voir les métiers" xr:uid="{00000000-0004-0000-0000-000037000000}"/>
    <hyperlink ref="C34" location="'Présentations métiers'!B234" display="Pharmacie" xr:uid="{00000000-0004-0000-0000-000038000000}"/>
    <hyperlink ref="D34" location="'Présentations métiers'!B234" display="→ Voir les métiers" xr:uid="{00000000-0004-0000-0000-000039000000}"/>
    <hyperlink ref="C35" location="'Présentations métiers'!B248" display="Physiologie humaine" xr:uid="{00000000-0004-0000-0000-00003A000000}"/>
    <hyperlink ref="D35" location="'Présentations métiers'!B248" display="→ Voir les métiers" xr:uid="{00000000-0004-0000-0000-00003B000000}"/>
    <hyperlink ref="C36" location="'Présentations métiers'!B253" display="Police scientifique" xr:uid="{00000000-0004-0000-0000-00003C000000}"/>
    <hyperlink ref="D36" location="'Présentations métiers'!B253" display="→ Voir les métiers" xr:uid="{00000000-0004-0000-0000-00003D000000}"/>
    <hyperlink ref="C37" location="'Présentations métiers'!B261" display="Psychologie/Psychiatrie" xr:uid="{00000000-0004-0000-0000-00003E000000}"/>
    <hyperlink ref="D37" location="'Présentations métiers'!B261" display="→ Voir les métiers" xr:uid="{00000000-0004-0000-0000-00003F000000}"/>
    <hyperlink ref="C38" location="'Présentations métiers'!B269" display="Responsabilité sociétale des entreprises" xr:uid="{00000000-0004-0000-0000-000040000000}"/>
    <hyperlink ref="D38" location="'Présentations métiers'!B269" display="→ Voir les métiers" xr:uid="{00000000-0004-0000-0000-000041000000}"/>
    <hyperlink ref="C39" location="'Présentations métiers'!B274" display="Santé - Professions médicales et paramédicales" xr:uid="{00000000-0004-0000-0000-000042000000}"/>
    <hyperlink ref="D39" location="'Présentations métiers'!B274" display="→ Voir les métiers" xr:uid="{00000000-0004-0000-0000-000043000000}"/>
    <hyperlink ref="C40" location="'Présentations métiers'!B317" display="Santé - Thérapies complémentaires, accompagnement et bien-être" xr:uid="{00000000-0004-0000-0000-000044000000}"/>
    <hyperlink ref="D40" location="'Présentations métiers'!B317" display="→ Voir les métiers" xr:uid="{00000000-0004-0000-0000-000045000000}"/>
    <hyperlink ref="C41" location="'Présentations métiers'!B325" display="Sciences de l'évolution" xr:uid="{00000000-0004-0000-0000-000046000000}"/>
    <hyperlink ref="D41" location="'Présentations métiers'!B325" display="→ Voir les métiers" xr:uid="{00000000-0004-0000-0000-000047000000}"/>
    <hyperlink ref="C42" location="'Présentations métiers'!B329" display="Sport" xr:uid="{00000000-0004-0000-0000-000048000000}"/>
    <hyperlink ref="D42" location="'Présentations métiers'!B329" display="→ Voir les métiers" xr:uid="{00000000-0004-0000-0000-000049000000}"/>
    <hyperlink ref="C43" location="'Présentations métiers'!B349" display="🔲 Apiculture &amp; Entomologie appliquée" xr:uid="{00000000-0004-0000-0000-00004A000000}"/>
    <hyperlink ref="D43" location="'Présentations métiers'!B349" display="→ Compléter" xr:uid="{00000000-0004-0000-0000-00004B000000}"/>
    <hyperlink ref="C44" location="'Présentations métiers'!B351" display="🔲 Aquaculture &amp; Pêche durable" xr:uid="{00000000-0004-0000-0000-00004C000000}"/>
    <hyperlink ref="D44" location="'Présentations métiers'!B351" display="→ Compléter" xr:uid="{00000000-0004-0000-0000-00004D000000}"/>
    <hyperlink ref="C45" location="'Présentations métiers'!B353" display="🔲 Biomatériaux &amp; Implants" xr:uid="{00000000-0004-0000-0000-00004E000000}"/>
    <hyperlink ref="D45" location="'Présentations métiers'!B353" display="→ Compléter" xr:uid="{00000000-0004-0000-0000-00004F000000}"/>
    <hyperlink ref="C46" location="'Présentations métiers'!B357" display="🔲 Enseignement &amp; Recherche en SVT" xr:uid="{00000000-0004-0000-0000-000052000000}"/>
    <hyperlink ref="D46" location="'Présentations métiers'!B357" display="→ Compléter" xr:uid="{00000000-0004-0000-0000-000053000000}"/>
    <hyperlink ref="C47" location="'Présentations métiers'!B359" display="🔲 Génie écologique &amp; Restauration" xr:uid="{00000000-0004-0000-0000-000054000000}"/>
    <hyperlink ref="D47" location="'Présentations métiers'!B359" display="→ Compléter" xr:uid="{00000000-0004-0000-0000-000055000000}"/>
    <hyperlink ref="C48" location="'Présentations métiers'!B365" display="Jardins &amp; Espaces verts" xr:uid="{00000000-0004-0000-0000-000056000000}"/>
    <hyperlink ref="D48" location="'Présentations métiers'!B365" display="→ Voir les métiers" xr:uid="{00000000-0004-0000-0000-000057000000}"/>
    <hyperlink ref="C49" location="'Présentations métiers'!B367" display="Journalisme &amp; Médiation scientifique" xr:uid="{00000000-0004-0000-0000-000058000000}"/>
    <hyperlink ref="D49" location="'Présentations métiers'!B367" display="→ Voir les métiers" xr:uid="{00000000-0004-0000-0000-000059000000}"/>
    <hyperlink ref="C50" location="'Présentations métiers'!B369" display="Muséographie &amp; Muséologie scientifique" xr:uid="{00000000-0004-0000-0000-00005A000000}"/>
    <hyperlink ref="D50" location="'Présentations métiers'!B369" display="→ Voir les métiers" xr:uid="{00000000-0004-0000-0000-00005B000000}"/>
    <hyperlink ref="C51" location="'Présentations métiers'!B371" display="🔲 Mycologie &amp; Champignons" xr:uid="{00000000-0004-0000-0000-00005C000000}"/>
    <hyperlink ref="D51" location="'Présentations métiers'!B371" display="→ Compléter" xr:uid="{00000000-0004-0000-0000-00005D000000}"/>
    <hyperlink ref="C52" location="'Présentations métiers'!B375" display="🔲 Toxicologie &amp; Sécurité chimique" xr:uid="{00000000-0004-0000-0000-000060000000}"/>
    <hyperlink ref="D52" location="'Présentations métiers'!B375" display="→ Compléter" xr:uid="{00000000-0004-0000-0000-000061000000}"/>
    <hyperlink ref="C53" location="'Présentations métiers'!B377" display="🔲 Vétérinaire &amp; Santé animale" xr:uid="{00000000-0004-0000-0000-000062000000}"/>
    <hyperlink ref="D53" location="'Présentations métiers'!B377" display="→ Compléter" xr:uid="{00000000-0004-0000-0000-00006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47"/>
  <sheetViews>
    <sheetView workbookViewId="0">
      <pane xSplit="1" ySplit="4" topLeftCell="B33" activePane="bottomRight" state="frozen"/>
      <selection pane="topRight"/>
      <selection pane="bottomLeft"/>
      <selection pane="bottomRight" activeCell="H28" sqref="H28"/>
    </sheetView>
  </sheetViews>
  <sheetFormatPr baseColWidth="10" defaultColWidth="8.88671875" defaultRowHeight="14.4" x14ac:dyDescent="0.3"/>
  <cols>
    <col min="1" max="1" width="3" customWidth="1"/>
    <col min="2" max="2" width="28" customWidth="1"/>
    <col min="3" max="3" width="55" customWidth="1"/>
    <col min="4" max="4" width="3" customWidth="1"/>
  </cols>
  <sheetData>
    <row r="1" spans="2:3" ht="10.050000000000001" customHeight="1" x14ac:dyDescent="0.3"/>
    <row r="2" spans="2:3" ht="43.95" customHeight="1" x14ac:dyDescent="0.3">
      <c r="B2" s="98" t="s">
        <v>613</v>
      </c>
      <c r="C2" s="87"/>
    </row>
    <row r="3" spans="2:3" ht="22.05" customHeight="1" x14ac:dyDescent="0.3">
      <c r="B3" s="94" t="s">
        <v>614</v>
      </c>
      <c r="C3" s="87"/>
    </row>
    <row r="4" spans="2:3" ht="13.95" customHeight="1" x14ac:dyDescent="0.3"/>
    <row r="5" spans="2:3" ht="30" customHeight="1" x14ac:dyDescent="0.3">
      <c r="B5" s="103" t="s">
        <v>615</v>
      </c>
      <c r="C5" s="87"/>
    </row>
    <row r="6" spans="2:3" ht="52.8" x14ac:dyDescent="0.3">
      <c r="B6" s="12" t="s">
        <v>616</v>
      </c>
      <c r="C6" s="13" t="s">
        <v>617</v>
      </c>
    </row>
    <row r="7" spans="2:3" ht="26.4" x14ac:dyDescent="0.3">
      <c r="B7" s="12" t="s">
        <v>618</v>
      </c>
      <c r="C7" s="13" t="s">
        <v>619</v>
      </c>
    </row>
    <row r="8" spans="2:3" ht="52.8" x14ac:dyDescent="0.3">
      <c r="B8" s="12" t="s">
        <v>620</v>
      </c>
      <c r="C8" s="13" t="s">
        <v>621</v>
      </c>
    </row>
    <row r="9" spans="2:3" ht="10.050000000000001" customHeight="1" x14ac:dyDescent="0.3"/>
    <row r="10" spans="2:3" ht="30" customHeight="1" x14ac:dyDescent="0.3">
      <c r="B10" s="100" t="s">
        <v>622</v>
      </c>
      <c r="C10" s="87"/>
    </row>
    <row r="11" spans="2:3" ht="52.8" x14ac:dyDescent="0.3">
      <c r="B11" s="14" t="s">
        <v>623</v>
      </c>
      <c r="C11" s="15" t="s">
        <v>624</v>
      </c>
    </row>
    <row r="12" spans="2:3" ht="26.4" x14ac:dyDescent="0.3">
      <c r="B12" s="14" t="s">
        <v>625</v>
      </c>
      <c r="C12" s="15" t="s">
        <v>626</v>
      </c>
    </row>
    <row r="13" spans="2:3" ht="52.8" x14ac:dyDescent="0.3">
      <c r="B13" s="14" t="s">
        <v>627</v>
      </c>
      <c r="C13" s="15" t="s">
        <v>628</v>
      </c>
    </row>
    <row r="14" spans="2:3" ht="10.050000000000001" customHeight="1" x14ac:dyDescent="0.3"/>
    <row r="15" spans="2:3" ht="30" customHeight="1" x14ac:dyDescent="0.3">
      <c r="B15" s="102" t="s">
        <v>629</v>
      </c>
      <c r="C15" s="87"/>
    </row>
    <row r="16" spans="2:3" x14ac:dyDescent="0.3">
      <c r="B16" s="16" t="s">
        <v>630</v>
      </c>
      <c r="C16" s="17" t="s">
        <v>631</v>
      </c>
    </row>
    <row r="17" spans="2:3" ht="39.6" x14ac:dyDescent="0.3">
      <c r="B17" s="16" t="s">
        <v>632</v>
      </c>
      <c r="C17" s="17" t="s">
        <v>633</v>
      </c>
    </row>
    <row r="18" spans="2:3" x14ac:dyDescent="0.3">
      <c r="B18" s="16" t="s">
        <v>634</v>
      </c>
      <c r="C18" s="17" t="s">
        <v>635</v>
      </c>
    </row>
    <row r="19" spans="2:3" ht="92.4" x14ac:dyDescent="0.3">
      <c r="B19" s="16" t="s">
        <v>636</v>
      </c>
      <c r="C19" s="17" t="s">
        <v>669</v>
      </c>
    </row>
    <row r="20" spans="2:3" ht="10.050000000000001" customHeight="1" x14ac:dyDescent="0.3"/>
    <row r="21" spans="2:3" ht="30" customHeight="1" x14ac:dyDescent="0.3">
      <c r="B21" s="97" t="s">
        <v>637</v>
      </c>
      <c r="C21" s="87"/>
    </row>
    <row r="22" spans="2:3" ht="92.4" x14ac:dyDescent="0.3">
      <c r="B22" s="18" t="s">
        <v>638</v>
      </c>
      <c r="C22" s="19" t="s">
        <v>639</v>
      </c>
    </row>
    <row r="23" spans="2:3" ht="52.8" x14ac:dyDescent="0.3">
      <c r="B23" s="18" t="s">
        <v>640</v>
      </c>
      <c r="C23" s="19" t="s">
        <v>641</v>
      </c>
    </row>
    <row r="24" spans="2:3" ht="10.050000000000001" customHeight="1" x14ac:dyDescent="0.3"/>
    <row r="25" spans="2:3" ht="30" customHeight="1" x14ac:dyDescent="0.3">
      <c r="B25" s="93" t="s">
        <v>642</v>
      </c>
      <c r="C25" s="87"/>
    </row>
    <row r="26" spans="2:3" ht="39.6" x14ac:dyDescent="0.3">
      <c r="B26" s="20" t="s">
        <v>643</v>
      </c>
      <c r="C26" s="21" t="s">
        <v>644</v>
      </c>
    </row>
    <row r="27" spans="2:3" ht="39.6" x14ac:dyDescent="0.3">
      <c r="B27" s="20" t="s">
        <v>645</v>
      </c>
      <c r="C27" s="21" t="s">
        <v>646</v>
      </c>
    </row>
    <row r="28" spans="2:3" ht="52.8" x14ac:dyDescent="0.3">
      <c r="B28" s="20" t="s">
        <v>647</v>
      </c>
      <c r="C28" s="21" t="s">
        <v>648</v>
      </c>
    </row>
    <row r="29" spans="2:3" ht="10.050000000000001" customHeight="1" x14ac:dyDescent="0.3"/>
    <row r="30" spans="2:3" ht="30" customHeight="1" x14ac:dyDescent="0.3">
      <c r="B30" s="101" t="s">
        <v>649</v>
      </c>
      <c r="C30" s="87"/>
    </row>
    <row r="31" spans="2:3" x14ac:dyDescent="0.3">
      <c r="B31" s="22" t="s">
        <v>650</v>
      </c>
      <c r="C31" s="23" t="s">
        <v>651</v>
      </c>
    </row>
    <row r="32" spans="2:3" ht="66" x14ac:dyDescent="0.3">
      <c r="B32" s="22" t="s">
        <v>652</v>
      </c>
      <c r="C32" s="23" t="s">
        <v>653</v>
      </c>
    </row>
    <row r="33" spans="2:3" ht="52.8" x14ac:dyDescent="0.3">
      <c r="B33" s="22" t="s">
        <v>654</v>
      </c>
      <c r="C33" s="23" t="s">
        <v>655</v>
      </c>
    </row>
    <row r="34" spans="2:3" ht="26.4" x14ac:dyDescent="0.3">
      <c r="B34" s="22" t="s">
        <v>656</v>
      </c>
      <c r="C34" s="23" t="s">
        <v>657</v>
      </c>
    </row>
    <row r="35" spans="2:3" ht="10.050000000000001" customHeight="1" x14ac:dyDescent="0.3"/>
    <row r="36" spans="2:3" ht="30" customHeight="1" x14ac:dyDescent="0.3">
      <c r="B36" s="104" t="s">
        <v>658</v>
      </c>
      <c r="C36" s="87"/>
    </row>
    <row r="37" spans="2:3" ht="36" customHeight="1" x14ac:dyDescent="0.3">
      <c r="B37" s="99" t="s">
        <v>659</v>
      </c>
      <c r="C37" s="96"/>
    </row>
    <row r="38" spans="2:3" ht="18" customHeight="1" x14ac:dyDescent="0.3">
      <c r="B38" s="95" t="s">
        <v>660</v>
      </c>
      <c r="C38" s="96"/>
    </row>
    <row r="39" spans="2:3" ht="18" customHeight="1" x14ac:dyDescent="0.3">
      <c r="B39" s="95" t="s">
        <v>661</v>
      </c>
      <c r="C39" s="96"/>
    </row>
    <row r="40" spans="2:3" ht="18" customHeight="1" x14ac:dyDescent="0.3">
      <c r="B40" s="95" t="s">
        <v>662</v>
      </c>
      <c r="C40" s="96"/>
    </row>
    <row r="41" spans="2:3" ht="18" customHeight="1" x14ac:dyDescent="0.3">
      <c r="B41" s="95" t="s">
        <v>663</v>
      </c>
      <c r="C41" s="96"/>
    </row>
    <row r="42" spans="2:3" ht="18" customHeight="1" x14ac:dyDescent="0.3">
      <c r="B42" s="95" t="s">
        <v>664</v>
      </c>
      <c r="C42" s="96"/>
    </row>
    <row r="43" spans="2:3" ht="18" customHeight="1" x14ac:dyDescent="0.3">
      <c r="B43" s="95" t="s">
        <v>665</v>
      </c>
      <c r="C43" s="96"/>
    </row>
    <row r="44" spans="2:3" ht="18" customHeight="1" x14ac:dyDescent="0.3">
      <c r="B44" s="95" t="s">
        <v>666</v>
      </c>
      <c r="C44" s="96"/>
    </row>
    <row r="45" spans="2:3" ht="18" customHeight="1" x14ac:dyDescent="0.3">
      <c r="B45" s="95"/>
      <c r="C45" s="96"/>
    </row>
    <row r="46" spans="2:3" ht="6" customHeight="1" x14ac:dyDescent="0.3"/>
    <row r="47" spans="2:3" ht="16.05" customHeight="1" x14ac:dyDescent="0.3">
      <c r="B47" s="92" t="s">
        <v>667</v>
      </c>
      <c r="C47" s="87"/>
    </row>
  </sheetData>
  <mergeCells count="19">
    <mergeCell ref="B2:C2"/>
    <mergeCell ref="B42:C42"/>
    <mergeCell ref="B38:C38"/>
    <mergeCell ref="B44:C44"/>
    <mergeCell ref="B37:C37"/>
    <mergeCell ref="B10:C10"/>
    <mergeCell ref="B40:C40"/>
    <mergeCell ref="B30:C30"/>
    <mergeCell ref="B15:C15"/>
    <mergeCell ref="B5:C5"/>
    <mergeCell ref="B36:C36"/>
    <mergeCell ref="B41:C41"/>
    <mergeCell ref="B47:C47"/>
    <mergeCell ref="B25:C25"/>
    <mergeCell ref="B3:C3"/>
    <mergeCell ref="B43:C43"/>
    <mergeCell ref="B39:C39"/>
    <mergeCell ref="B21:C21"/>
    <mergeCell ref="B45:C4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1361"/>
  <sheetViews>
    <sheetView showGridLines="0" tabSelected="1" zoomScale="70" zoomScaleNormal="70" workbookViewId="0">
      <pane xSplit="1" ySplit="4" topLeftCell="B372" activePane="bottomRight" state="frozen"/>
      <selection pane="topRight"/>
      <selection pane="bottomLeft" activeCell="C22" sqref="C22"/>
      <selection pane="bottomRight" activeCell="I4" sqref="I4"/>
    </sheetView>
  </sheetViews>
  <sheetFormatPr baseColWidth="10" defaultColWidth="12.6640625" defaultRowHeight="15" customHeight="1" x14ac:dyDescent="0.3"/>
  <cols>
    <col min="1" max="1" width="3" customWidth="1"/>
    <col min="2" max="2" width="46" customWidth="1"/>
    <col min="3" max="4" width="13" customWidth="1"/>
    <col min="5" max="5" width="40" customWidth="1"/>
    <col min="6" max="6" width="28" customWidth="1"/>
    <col min="7" max="7" width="50" customWidth="1"/>
    <col min="8" max="8" width="34" customWidth="1"/>
    <col min="9" max="24" width="9.109375" customWidth="1"/>
  </cols>
  <sheetData>
    <row r="1" spans="1:24" ht="19.5" customHeight="1" x14ac:dyDescent="0.3">
      <c r="A1" s="1"/>
      <c r="B1" s="37" t="s">
        <v>0</v>
      </c>
      <c r="C1" s="2"/>
      <c r="D1" s="1"/>
      <c r="E1" s="2"/>
      <c r="F1" s="2"/>
      <c r="G1" s="2"/>
      <c r="H1" s="1"/>
      <c r="I1" s="1"/>
      <c r="J1" s="1"/>
      <c r="K1" s="1"/>
      <c r="L1" s="1"/>
      <c r="M1" s="1"/>
      <c r="N1" s="1"/>
      <c r="O1" s="1"/>
      <c r="P1" s="1"/>
      <c r="Q1" s="1"/>
      <c r="R1" s="1"/>
      <c r="S1" s="1"/>
      <c r="T1" s="1"/>
      <c r="U1" s="1"/>
      <c r="V1" s="1"/>
      <c r="W1" s="1"/>
      <c r="X1" s="1"/>
    </row>
    <row r="2" spans="1:24" ht="51.75" customHeight="1" x14ac:dyDescent="0.3">
      <c r="A2" s="3"/>
      <c r="B2" s="86" t="s">
        <v>1</v>
      </c>
      <c r="C2" s="87"/>
      <c r="D2" s="87"/>
      <c r="E2" s="87"/>
      <c r="F2" s="87"/>
      <c r="G2" s="87"/>
      <c r="H2" s="87"/>
      <c r="I2" s="3"/>
      <c r="J2" s="3"/>
      <c r="K2" s="3"/>
      <c r="L2" s="3"/>
      <c r="M2" s="3"/>
      <c r="N2" s="3"/>
      <c r="O2" s="3"/>
      <c r="P2" s="3"/>
      <c r="Q2" s="3"/>
      <c r="R2" s="3"/>
      <c r="S2" s="3"/>
      <c r="T2" s="3"/>
      <c r="U2" s="3"/>
      <c r="V2" s="3"/>
      <c r="W2" s="3"/>
      <c r="X2" s="3"/>
    </row>
    <row r="3" spans="1:24" ht="6" customHeight="1" x14ac:dyDescent="0.3">
      <c r="A3" s="4"/>
      <c r="B3" s="5"/>
      <c r="C3" s="6"/>
      <c r="D3" s="7"/>
      <c r="E3" s="8"/>
      <c r="F3" s="9"/>
      <c r="G3" s="10"/>
      <c r="H3" s="3"/>
      <c r="I3" s="3"/>
      <c r="J3" s="3"/>
      <c r="K3" s="3"/>
      <c r="L3" s="3"/>
      <c r="M3" s="3"/>
      <c r="N3" s="3"/>
      <c r="O3" s="3"/>
      <c r="P3" s="3"/>
      <c r="Q3" s="3"/>
      <c r="R3" s="3"/>
      <c r="S3" s="3"/>
      <c r="T3" s="3"/>
      <c r="U3" s="3"/>
      <c r="V3" s="3"/>
      <c r="W3" s="3"/>
      <c r="X3" s="3"/>
    </row>
    <row r="4" spans="1:24" ht="31.95" customHeight="1" x14ac:dyDescent="0.3">
      <c r="A4" s="11"/>
      <c r="B4" s="38" t="s">
        <v>2</v>
      </c>
      <c r="C4" s="39" t="s">
        <v>3</v>
      </c>
      <c r="D4" s="40" t="s">
        <v>4</v>
      </c>
      <c r="E4" s="41" t="s">
        <v>5</v>
      </c>
      <c r="F4" s="42" t="s">
        <v>6</v>
      </c>
      <c r="G4" s="43" t="s">
        <v>7</v>
      </c>
      <c r="H4" s="38" t="s">
        <v>668</v>
      </c>
      <c r="I4" s="38" t="s">
        <v>685</v>
      </c>
      <c r="J4" s="3"/>
      <c r="K4" s="3"/>
      <c r="L4" s="3"/>
      <c r="M4" s="3"/>
      <c r="N4" s="3"/>
      <c r="O4" s="3"/>
      <c r="P4" s="3"/>
      <c r="Q4" s="11"/>
      <c r="R4" s="11"/>
      <c r="S4" s="11"/>
      <c r="T4" s="11"/>
      <c r="U4" s="11"/>
      <c r="V4" s="11"/>
      <c r="W4" s="11"/>
      <c r="X4" s="11"/>
    </row>
    <row r="5" spans="1:24" ht="25.95" customHeight="1" thickBot="1" x14ac:dyDescent="0.35">
      <c r="B5" s="45" t="s">
        <v>8</v>
      </c>
      <c r="C5" s="44"/>
      <c r="D5" s="44"/>
      <c r="E5" s="46" t="s">
        <v>9</v>
      </c>
      <c r="F5" s="47" t="s">
        <v>10</v>
      </c>
      <c r="G5" s="44"/>
      <c r="H5" s="55" t="s">
        <v>11</v>
      </c>
      <c r="I5" s="55" t="s">
        <v>686</v>
      </c>
    </row>
    <row r="6" spans="1:24" ht="22.05" customHeight="1" x14ac:dyDescent="0.3">
      <c r="B6" s="48" t="s">
        <v>12</v>
      </c>
      <c r="C6" s="49" t="s">
        <v>13</v>
      </c>
      <c r="D6" s="50"/>
      <c r="E6" s="51" t="s">
        <v>9</v>
      </c>
      <c r="F6" s="52" t="s">
        <v>10</v>
      </c>
      <c r="G6" s="53" t="s">
        <v>14</v>
      </c>
      <c r="H6" s="56"/>
      <c r="I6" s="56" t="s">
        <v>686</v>
      </c>
    </row>
    <row r="7" spans="1:24" ht="22.05" customHeight="1" x14ac:dyDescent="0.3">
      <c r="B7" s="48" t="s">
        <v>15</v>
      </c>
      <c r="C7" s="49" t="s">
        <v>13</v>
      </c>
      <c r="D7" s="50"/>
      <c r="E7" s="51" t="s">
        <v>9</v>
      </c>
      <c r="F7" s="52" t="s">
        <v>10</v>
      </c>
      <c r="G7" s="53" t="s">
        <v>16</v>
      </c>
      <c r="H7" s="56"/>
      <c r="I7" s="56" t="s">
        <v>686</v>
      </c>
    </row>
    <row r="8" spans="1:24" ht="22.05" customHeight="1" x14ac:dyDescent="0.3">
      <c r="B8" s="48" t="s">
        <v>17</v>
      </c>
      <c r="C8" s="49" t="s">
        <v>13</v>
      </c>
      <c r="D8" s="50"/>
      <c r="E8" s="51" t="s">
        <v>9</v>
      </c>
      <c r="F8" s="52" t="s">
        <v>10</v>
      </c>
      <c r="G8" s="53" t="s">
        <v>18</v>
      </c>
      <c r="H8" s="56"/>
      <c r="I8" s="56" t="s">
        <v>686</v>
      </c>
    </row>
    <row r="9" spans="1:24" ht="22.05" customHeight="1" x14ac:dyDescent="0.3">
      <c r="B9" s="48" t="s">
        <v>19</v>
      </c>
      <c r="C9" s="49" t="s">
        <v>13</v>
      </c>
      <c r="D9" s="50"/>
      <c r="E9" s="51" t="s">
        <v>9</v>
      </c>
      <c r="F9" s="52" t="s">
        <v>10</v>
      </c>
      <c r="G9" s="53" t="s">
        <v>20</v>
      </c>
      <c r="H9" s="56"/>
      <c r="I9" s="56" t="s">
        <v>686</v>
      </c>
    </row>
    <row r="10" spans="1:24" ht="22.05" customHeight="1" x14ac:dyDescent="0.3">
      <c r="B10" s="48" t="s">
        <v>21</v>
      </c>
      <c r="C10" s="49" t="s">
        <v>13</v>
      </c>
      <c r="D10" s="50"/>
      <c r="E10" s="51" t="s">
        <v>9</v>
      </c>
      <c r="F10" s="52" t="s">
        <v>10</v>
      </c>
      <c r="G10" s="53" t="s">
        <v>22</v>
      </c>
      <c r="H10" s="56"/>
      <c r="I10" s="56" t="s">
        <v>686</v>
      </c>
    </row>
    <row r="11" spans="1:24" ht="22.05" customHeight="1" x14ac:dyDescent="0.3">
      <c r="B11" s="48" t="s">
        <v>23</v>
      </c>
      <c r="C11" s="49" t="s">
        <v>13</v>
      </c>
      <c r="D11" s="50"/>
      <c r="E11" s="51" t="s">
        <v>9</v>
      </c>
      <c r="F11" s="52" t="s">
        <v>10</v>
      </c>
      <c r="G11" s="53" t="s">
        <v>24</v>
      </c>
      <c r="H11" s="56"/>
      <c r="I11" s="56" t="s">
        <v>686</v>
      </c>
    </row>
    <row r="12" spans="1:24" ht="22.05" customHeight="1" x14ac:dyDescent="0.3">
      <c r="B12" s="48" t="s">
        <v>25</v>
      </c>
      <c r="C12" s="49" t="s">
        <v>13</v>
      </c>
      <c r="D12" s="50"/>
      <c r="E12" s="51" t="s">
        <v>9</v>
      </c>
      <c r="F12" s="52" t="s">
        <v>10</v>
      </c>
      <c r="G12" s="53" t="s">
        <v>26</v>
      </c>
      <c r="H12" s="56"/>
      <c r="I12" s="56" t="s">
        <v>686</v>
      </c>
    </row>
    <row r="13" spans="1:24" ht="6" customHeight="1" x14ac:dyDescent="0.3"/>
    <row r="14" spans="1:24" ht="25.95" customHeight="1" x14ac:dyDescent="0.3">
      <c r="B14" s="45" t="s">
        <v>27</v>
      </c>
      <c r="C14" s="44"/>
      <c r="D14" s="44"/>
      <c r="E14" s="46" t="s">
        <v>9</v>
      </c>
      <c r="F14" s="47" t="s">
        <v>10</v>
      </c>
      <c r="G14" s="44"/>
      <c r="H14" s="55" t="s">
        <v>28</v>
      </c>
      <c r="I14" s="55" t="s">
        <v>686</v>
      </c>
    </row>
    <row r="15" spans="1:24" ht="22.05" customHeight="1" x14ac:dyDescent="0.3">
      <c r="B15" s="48" t="s">
        <v>29</v>
      </c>
      <c r="C15" s="49" t="s">
        <v>13</v>
      </c>
      <c r="D15" s="50"/>
      <c r="E15" s="51" t="s">
        <v>9</v>
      </c>
      <c r="F15" s="52" t="s">
        <v>10</v>
      </c>
      <c r="G15" s="53" t="s">
        <v>30</v>
      </c>
      <c r="H15" s="56"/>
      <c r="I15" s="56" t="s">
        <v>686</v>
      </c>
    </row>
    <row r="16" spans="1:24" ht="22.05" customHeight="1" x14ac:dyDescent="0.3">
      <c r="B16" s="48" t="s">
        <v>31</v>
      </c>
      <c r="C16" s="49" t="s">
        <v>13</v>
      </c>
      <c r="D16" s="50"/>
      <c r="E16" s="51" t="s">
        <v>9</v>
      </c>
      <c r="F16" s="52" t="s">
        <v>10</v>
      </c>
      <c r="G16" s="53" t="s">
        <v>32</v>
      </c>
      <c r="H16" s="56"/>
      <c r="I16" s="56" t="s">
        <v>686</v>
      </c>
    </row>
    <row r="17" spans="2:9" ht="22.05" customHeight="1" x14ac:dyDescent="0.3">
      <c r="B17" s="48" t="s">
        <v>33</v>
      </c>
      <c r="C17" s="49" t="s">
        <v>13</v>
      </c>
      <c r="D17" s="50"/>
      <c r="E17" s="51" t="s">
        <v>9</v>
      </c>
      <c r="F17" s="52" t="s">
        <v>10</v>
      </c>
      <c r="G17" s="53" t="s">
        <v>34</v>
      </c>
      <c r="H17" s="56"/>
      <c r="I17" s="56" t="s">
        <v>686</v>
      </c>
    </row>
    <row r="18" spans="2:9" ht="22.05" customHeight="1" x14ac:dyDescent="0.3">
      <c r="B18" s="48" t="s">
        <v>35</v>
      </c>
      <c r="C18" s="49" t="s">
        <v>13</v>
      </c>
      <c r="D18" s="50"/>
      <c r="E18" s="51" t="s">
        <v>9</v>
      </c>
      <c r="F18" s="52" t="s">
        <v>10</v>
      </c>
      <c r="G18" s="53" t="s">
        <v>36</v>
      </c>
      <c r="H18" s="56"/>
      <c r="I18" s="56" t="s">
        <v>686</v>
      </c>
    </row>
    <row r="19" spans="2:9" ht="22.05" customHeight="1" x14ac:dyDescent="0.3">
      <c r="B19" s="48" t="s">
        <v>37</v>
      </c>
      <c r="C19" s="49" t="s">
        <v>13</v>
      </c>
      <c r="D19" s="50"/>
      <c r="E19" s="51" t="s">
        <v>9</v>
      </c>
      <c r="F19" s="52" t="s">
        <v>10</v>
      </c>
      <c r="G19" s="53" t="s">
        <v>38</v>
      </c>
      <c r="H19" s="56"/>
      <c r="I19" s="56" t="s">
        <v>686</v>
      </c>
    </row>
    <row r="20" spans="2:9" ht="22.05" customHeight="1" x14ac:dyDescent="0.3">
      <c r="B20" s="48" t="s">
        <v>39</v>
      </c>
      <c r="C20" s="49" t="s">
        <v>13</v>
      </c>
      <c r="D20" s="50"/>
      <c r="E20" s="51" t="s">
        <v>9</v>
      </c>
      <c r="F20" s="52" t="s">
        <v>10</v>
      </c>
      <c r="G20" s="53" t="s">
        <v>40</v>
      </c>
      <c r="H20" s="56"/>
      <c r="I20" s="56" t="s">
        <v>686</v>
      </c>
    </row>
    <row r="21" spans="2:9" ht="22.05" customHeight="1" x14ac:dyDescent="0.3">
      <c r="B21" s="48" t="s">
        <v>41</v>
      </c>
      <c r="C21" s="49" t="s">
        <v>13</v>
      </c>
      <c r="D21" s="50"/>
      <c r="E21" s="51" t="s">
        <v>9</v>
      </c>
      <c r="F21" s="52" t="s">
        <v>10</v>
      </c>
      <c r="G21" s="53" t="s">
        <v>42</v>
      </c>
      <c r="H21" s="56"/>
      <c r="I21" s="56" t="s">
        <v>686</v>
      </c>
    </row>
    <row r="22" spans="2:9" ht="22.05" customHeight="1" x14ac:dyDescent="0.3">
      <c r="B22" s="48" t="s">
        <v>43</v>
      </c>
      <c r="C22" s="49" t="s">
        <v>13</v>
      </c>
      <c r="D22" s="50"/>
      <c r="E22" s="51" t="s">
        <v>9</v>
      </c>
      <c r="F22" s="52" t="s">
        <v>10</v>
      </c>
      <c r="G22" s="53" t="s">
        <v>44</v>
      </c>
      <c r="H22" s="56"/>
      <c r="I22" s="56" t="s">
        <v>686</v>
      </c>
    </row>
    <row r="23" spans="2:9" ht="22.05" customHeight="1" x14ac:dyDescent="0.3">
      <c r="B23" s="48" t="s">
        <v>45</v>
      </c>
      <c r="C23" s="49" t="s">
        <v>13</v>
      </c>
      <c r="D23" s="50"/>
      <c r="E23" s="51" t="s">
        <v>9</v>
      </c>
      <c r="F23" s="52" t="s">
        <v>10</v>
      </c>
      <c r="G23" s="53" t="s">
        <v>46</v>
      </c>
      <c r="H23" s="56"/>
      <c r="I23" s="56" t="s">
        <v>686</v>
      </c>
    </row>
    <row r="24" spans="2:9" ht="22.05" customHeight="1" x14ac:dyDescent="0.3">
      <c r="B24" s="48" t="s">
        <v>47</v>
      </c>
      <c r="C24" s="49" t="s">
        <v>13</v>
      </c>
      <c r="D24" s="50"/>
      <c r="E24" s="51" t="s">
        <v>9</v>
      </c>
      <c r="F24" s="52" t="s">
        <v>10</v>
      </c>
      <c r="G24" s="53" t="s">
        <v>48</v>
      </c>
      <c r="H24" s="56"/>
      <c r="I24" s="56" t="s">
        <v>686</v>
      </c>
    </row>
    <row r="25" spans="2:9" ht="22.05" customHeight="1" x14ac:dyDescent="0.3">
      <c r="B25" s="48" t="s">
        <v>49</v>
      </c>
      <c r="C25" s="49" t="s">
        <v>13</v>
      </c>
      <c r="D25" s="50"/>
      <c r="E25" s="51" t="s">
        <v>9</v>
      </c>
      <c r="F25" s="52" t="s">
        <v>10</v>
      </c>
      <c r="G25" s="53" t="s">
        <v>50</v>
      </c>
      <c r="H25" s="56"/>
      <c r="I25" s="56" t="s">
        <v>686</v>
      </c>
    </row>
    <row r="26" spans="2:9" ht="22.05" customHeight="1" x14ac:dyDescent="0.3">
      <c r="B26" s="48" t="s">
        <v>51</v>
      </c>
      <c r="C26" s="49" t="s">
        <v>13</v>
      </c>
      <c r="D26" s="50"/>
      <c r="E26" s="51" t="s">
        <v>9</v>
      </c>
      <c r="F26" s="52" t="s">
        <v>10</v>
      </c>
      <c r="G26" s="53" t="s">
        <v>52</v>
      </c>
      <c r="H26" s="56"/>
      <c r="I26" s="56" t="s">
        <v>686</v>
      </c>
    </row>
    <row r="27" spans="2:9" ht="22.05" customHeight="1" x14ac:dyDescent="0.3">
      <c r="B27" s="48" t="s">
        <v>53</v>
      </c>
      <c r="C27" s="49" t="s">
        <v>13</v>
      </c>
      <c r="D27" s="50"/>
      <c r="E27" s="51" t="s">
        <v>9</v>
      </c>
      <c r="F27" s="52" t="s">
        <v>10</v>
      </c>
      <c r="G27" s="53" t="s">
        <v>54</v>
      </c>
      <c r="H27" s="56"/>
      <c r="I27" s="56" t="s">
        <v>686</v>
      </c>
    </row>
    <row r="28" spans="2:9" ht="22.05" customHeight="1" x14ac:dyDescent="0.3">
      <c r="B28" s="48" t="s">
        <v>55</v>
      </c>
      <c r="C28" s="49" t="s">
        <v>13</v>
      </c>
      <c r="D28" s="50"/>
      <c r="E28" s="51" t="s">
        <v>9</v>
      </c>
      <c r="F28" s="52" t="s">
        <v>10</v>
      </c>
      <c r="G28" s="53" t="s">
        <v>56</v>
      </c>
      <c r="H28" s="56"/>
      <c r="I28" s="56" t="s">
        <v>686</v>
      </c>
    </row>
    <row r="29" spans="2:9" ht="22.05" customHeight="1" x14ac:dyDescent="0.3">
      <c r="B29" s="48" t="s">
        <v>57</v>
      </c>
      <c r="C29" s="49" t="s">
        <v>13</v>
      </c>
      <c r="D29" s="54" t="s">
        <v>13</v>
      </c>
      <c r="E29" s="51" t="s">
        <v>9</v>
      </c>
      <c r="F29" s="52" t="s">
        <v>10</v>
      </c>
      <c r="G29" s="53" t="s">
        <v>58</v>
      </c>
      <c r="H29" s="56"/>
      <c r="I29" s="56" t="s">
        <v>686</v>
      </c>
    </row>
    <row r="30" spans="2:9" ht="22.05" customHeight="1" x14ac:dyDescent="0.3">
      <c r="B30" s="48" t="s">
        <v>59</v>
      </c>
      <c r="C30" s="49" t="s">
        <v>13</v>
      </c>
      <c r="D30" s="50"/>
      <c r="E30" s="51" t="s">
        <v>9</v>
      </c>
      <c r="F30" s="52" t="s">
        <v>10</v>
      </c>
      <c r="G30" s="53" t="s">
        <v>60</v>
      </c>
      <c r="H30" s="56"/>
      <c r="I30" s="56" t="s">
        <v>686</v>
      </c>
    </row>
    <row r="31" spans="2:9" ht="22.05" customHeight="1" x14ac:dyDescent="0.3">
      <c r="B31" s="48" t="s">
        <v>61</v>
      </c>
      <c r="C31" s="49" t="s">
        <v>13</v>
      </c>
      <c r="D31" s="50"/>
      <c r="E31" s="51" t="s">
        <v>9</v>
      </c>
      <c r="F31" s="52" t="s">
        <v>10</v>
      </c>
      <c r="G31" s="53" t="s">
        <v>62</v>
      </c>
      <c r="H31" s="56"/>
      <c r="I31" s="56" t="s">
        <v>686</v>
      </c>
    </row>
    <row r="32" spans="2:9" ht="22.05" customHeight="1" x14ac:dyDescent="0.3">
      <c r="B32" s="48" t="s">
        <v>63</v>
      </c>
      <c r="C32" s="49" t="s">
        <v>13</v>
      </c>
      <c r="D32" s="50"/>
      <c r="E32" s="51" t="s">
        <v>9</v>
      </c>
      <c r="F32" s="52" t="s">
        <v>10</v>
      </c>
      <c r="G32" s="53" t="s">
        <v>64</v>
      </c>
      <c r="H32" s="56"/>
      <c r="I32" s="56" t="s">
        <v>686</v>
      </c>
    </row>
    <row r="33" spans="2:9" ht="22.05" customHeight="1" x14ac:dyDescent="0.3">
      <c r="B33" s="48" t="s">
        <v>65</v>
      </c>
      <c r="C33" s="49" t="s">
        <v>13</v>
      </c>
      <c r="D33" s="50"/>
      <c r="E33" s="51" t="s">
        <v>9</v>
      </c>
      <c r="F33" s="52" t="s">
        <v>10</v>
      </c>
      <c r="G33" s="53" t="s">
        <v>66</v>
      </c>
      <c r="H33" s="56"/>
      <c r="I33" s="56" t="s">
        <v>686</v>
      </c>
    </row>
    <row r="34" spans="2:9" ht="22.05" customHeight="1" x14ac:dyDescent="0.3">
      <c r="B34" s="48" t="s">
        <v>67</v>
      </c>
      <c r="C34" s="49" t="s">
        <v>13</v>
      </c>
      <c r="D34" s="50"/>
      <c r="E34" s="51" t="s">
        <v>9</v>
      </c>
      <c r="F34" s="52" t="s">
        <v>10</v>
      </c>
      <c r="G34" s="53" t="s">
        <v>68</v>
      </c>
      <c r="H34" s="56"/>
      <c r="I34" s="56" t="s">
        <v>686</v>
      </c>
    </row>
    <row r="35" spans="2:9" ht="22.05" customHeight="1" x14ac:dyDescent="0.3">
      <c r="B35" s="48" t="s">
        <v>69</v>
      </c>
      <c r="C35" s="49" t="s">
        <v>13</v>
      </c>
      <c r="D35" s="50"/>
      <c r="E35" s="51" t="s">
        <v>9</v>
      </c>
      <c r="F35" s="52" t="s">
        <v>10</v>
      </c>
      <c r="G35" s="53" t="s">
        <v>70</v>
      </c>
      <c r="H35" s="56"/>
      <c r="I35" s="56" t="s">
        <v>686</v>
      </c>
    </row>
    <row r="36" spans="2:9" ht="22.05" customHeight="1" x14ac:dyDescent="0.3">
      <c r="B36" s="48" t="s">
        <v>71</v>
      </c>
      <c r="C36" s="49" t="s">
        <v>13</v>
      </c>
      <c r="D36" s="50"/>
      <c r="E36" s="51" t="s">
        <v>9</v>
      </c>
      <c r="F36" s="52" t="s">
        <v>10</v>
      </c>
      <c r="G36" s="53" t="s">
        <v>72</v>
      </c>
      <c r="H36" s="56"/>
      <c r="I36" s="56" t="s">
        <v>686</v>
      </c>
    </row>
    <row r="37" spans="2:9" ht="22.05" customHeight="1" x14ac:dyDescent="0.3">
      <c r="B37" s="48" t="s">
        <v>73</v>
      </c>
      <c r="C37" s="49" t="s">
        <v>13</v>
      </c>
      <c r="D37" s="54" t="s">
        <v>13</v>
      </c>
      <c r="E37" s="51" t="s">
        <v>9</v>
      </c>
      <c r="F37" s="52" t="s">
        <v>10</v>
      </c>
      <c r="G37" s="53" t="s">
        <v>74</v>
      </c>
      <c r="H37" s="56"/>
      <c r="I37" s="56" t="s">
        <v>686</v>
      </c>
    </row>
    <row r="38" spans="2:9" ht="22.05" customHeight="1" x14ac:dyDescent="0.3">
      <c r="B38" s="48" t="s">
        <v>75</v>
      </c>
      <c r="C38" s="49" t="s">
        <v>13</v>
      </c>
      <c r="D38" s="50"/>
      <c r="E38" s="51" t="s">
        <v>9</v>
      </c>
      <c r="F38" s="52" t="s">
        <v>10</v>
      </c>
      <c r="G38" s="53" t="s">
        <v>76</v>
      </c>
      <c r="H38" s="56"/>
      <c r="I38" s="56" t="s">
        <v>686</v>
      </c>
    </row>
    <row r="39" spans="2:9" ht="22.05" customHeight="1" x14ac:dyDescent="0.3">
      <c r="B39" s="48" t="s">
        <v>77</v>
      </c>
      <c r="C39" s="49" t="s">
        <v>13</v>
      </c>
      <c r="D39" s="50"/>
      <c r="E39" s="51" t="s">
        <v>9</v>
      </c>
      <c r="F39" s="52" t="s">
        <v>10</v>
      </c>
      <c r="G39" s="53" t="s">
        <v>78</v>
      </c>
      <c r="H39" s="56"/>
      <c r="I39" s="56" t="s">
        <v>686</v>
      </c>
    </row>
    <row r="40" spans="2:9" ht="22.05" customHeight="1" x14ac:dyDescent="0.3">
      <c r="B40" s="48" t="s">
        <v>79</v>
      </c>
      <c r="C40" s="49" t="s">
        <v>13</v>
      </c>
      <c r="D40" s="50"/>
      <c r="E40" s="51" t="s">
        <v>9</v>
      </c>
      <c r="F40" s="52" t="s">
        <v>10</v>
      </c>
      <c r="G40" s="53" t="s">
        <v>80</v>
      </c>
      <c r="H40" s="56"/>
      <c r="I40" s="56" t="s">
        <v>686</v>
      </c>
    </row>
    <row r="41" spans="2:9" ht="22.05" customHeight="1" x14ac:dyDescent="0.3">
      <c r="B41" s="48" t="s">
        <v>81</v>
      </c>
      <c r="C41" s="49" t="s">
        <v>13</v>
      </c>
      <c r="D41" s="50"/>
      <c r="E41" s="51" t="s">
        <v>9</v>
      </c>
      <c r="F41" s="52" t="s">
        <v>10</v>
      </c>
      <c r="G41" s="53" t="s">
        <v>82</v>
      </c>
      <c r="H41" s="56"/>
      <c r="I41" s="56" t="s">
        <v>686</v>
      </c>
    </row>
    <row r="42" spans="2:9" ht="22.05" customHeight="1" x14ac:dyDescent="0.3">
      <c r="B42" s="48" t="s">
        <v>83</v>
      </c>
      <c r="C42" s="49" t="s">
        <v>13</v>
      </c>
      <c r="D42" s="50"/>
      <c r="E42" s="51" t="s">
        <v>9</v>
      </c>
      <c r="F42" s="52" t="s">
        <v>10</v>
      </c>
      <c r="G42" s="53" t="s">
        <v>84</v>
      </c>
      <c r="H42" s="56"/>
      <c r="I42" s="56" t="s">
        <v>686</v>
      </c>
    </row>
    <row r="43" spans="2:9" ht="22.05" customHeight="1" x14ac:dyDescent="0.3">
      <c r="B43" s="48" t="s">
        <v>85</v>
      </c>
      <c r="C43" s="49" t="s">
        <v>13</v>
      </c>
      <c r="D43" s="50"/>
      <c r="E43" s="51" t="s">
        <v>9</v>
      </c>
      <c r="F43" s="52" t="s">
        <v>10</v>
      </c>
      <c r="G43" s="53" t="s">
        <v>86</v>
      </c>
      <c r="H43" s="56"/>
      <c r="I43" s="56" t="s">
        <v>686</v>
      </c>
    </row>
    <row r="44" spans="2:9" ht="6" customHeight="1" x14ac:dyDescent="0.3"/>
    <row r="45" spans="2:9" ht="25.95" customHeight="1" x14ac:dyDescent="0.3">
      <c r="B45" s="45" t="s">
        <v>87</v>
      </c>
      <c r="C45" s="44"/>
      <c r="D45" s="44"/>
      <c r="E45" s="46" t="s">
        <v>9</v>
      </c>
      <c r="F45" s="47"/>
      <c r="G45" s="44"/>
      <c r="H45" s="55" t="s">
        <v>88</v>
      </c>
      <c r="I45" s="55" t="s">
        <v>686</v>
      </c>
    </row>
    <row r="46" spans="2:9" ht="22.05" customHeight="1" x14ac:dyDescent="0.3">
      <c r="B46" s="48" t="s">
        <v>89</v>
      </c>
      <c r="C46" s="49" t="s">
        <v>13</v>
      </c>
      <c r="D46" s="50"/>
      <c r="E46" s="51" t="s">
        <v>9</v>
      </c>
      <c r="F46" s="52"/>
      <c r="G46" s="53" t="s">
        <v>90</v>
      </c>
      <c r="H46" s="56"/>
      <c r="I46" s="56" t="s">
        <v>686</v>
      </c>
    </row>
    <row r="47" spans="2:9" ht="22.05" customHeight="1" x14ac:dyDescent="0.3">
      <c r="B47" s="48" t="s">
        <v>91</v>
      </c>
      <c r="C47" s="49" t="s">
        <v>13</v>
      </c>
      <c r="D47" s="50"/>
      <c r="E47" s="51" t="s">
        <v>9</v>
      </c>
      <c r="F47" s="52"/>
      <c r="G47" s="53" t="s">
        <v>92</v>
      </c>
      <c r="H47" s="56"/>
      <c r="I47" s="56" t="s">
        <v>686</v>
      </c>
    </row>
    <row r="48" spans="2:9" ht="22.05" customHeight="1" x14ac:dyDescent="0.3">
      <c r="B48" s="48" t="s">
        <v>93</v>
      </c>
      <c r="C48" s="49" t="s">
        <v>13</v>
      </c>
      <c r="D48" s="50"/>
      <c r="E48" s="51" t="s">
        <v>9</v>
      </c>
      <c r="F48" s="52"/>
      <c r="G48" s="53" t="s">
        <v>94</v>
      </c>
      <c r="H48" s="56"/>
      <c r="I48" s="56" t="s">
        <v>686</v>
      </c>
    </row>
    <row r="49" spans="2:9" ht="22.05" customHeight="1" x14ac:dyDescent="0.3">
      <c r="B49" s="48" t="s">
        <v>95</v>
      </c>
      <c r="C49" s="49" t="s">
        <v>13</v>
      </c>
      <c r="D49" s="50"/>
      <c r="E49" s="51" t="s">
        <v>9</v>
      </c>
      <c r="F49" s="52"/>
      <c r="G49" s="53" t="s">
        <v>96</v>
      </c>
      <c r="H49" s="56"/>
      <c r="I49" s="56" t="s">
        <v>686</v>
      </c>
    </row>
    <row r="50" spans="2:9" ht="6" customHeight="1" x14ac:dyDescent="0.3"/>
    <row r="51" spans="2:9" ht="25.95" customHeight="1" x14ac:dyDescent="0.3">
      <c r="B51" s="45" t="s">
        <v>97</v>
      </c>
      <c r="C51" s="44"/>
      <c r="D51" s="44"/>
      <c r="E51" s="46" t="s">
        <v>98</v>
      </c>
      <c r="F51" s="47"/>
      <c r="G51" s="44"/>
      <c r="H51" s="55" t="s">
        <v>99</v>
      </c>
      <c r="I51" s="55" t="s">
        <v>687</v>
      </c>
    </row>
    <row r="52" spans="2:9" ht="22.05" customHeight="1" x14ac:dyDescent="0.3">
      <c r="B52" s="48" t="s">
        <v>100</v>
      </c>
      <c r="C52" s="49" t="s">
        <v>13</v>
      </c>
      <c r="D52" s="50"/>
      <c r="E52" s="51" t="s">
        <v>98</v>
      </c>
      <c r="F52" s="52"/>
      <c r="G52" s="53" t="s">
        <v>101</v>
      </c>
      <c r="H52" s="56"/>
      <c r="I52" s="56" t="s">
        <v>687</v>
      </c>
    </row>
    <row r="53" spans="2:9" ht="22.05" customHeight="1" x14ac:dyDescent="0.3">
      <c r="B53" s="48" t="s">
        <v>102</v>
      </c>
      <c r="C53" s="49" t="s">
        <v>13</v>
      </c>
      <c r="D53" s="50"/>
      <c r="E53" s="51" t="s">
        <v>98</v>
      </c>
      <c r="F53" s="52"/>
      <c r="G53" s="53" t="s">
        <v>103</v>
      </c>
      <c r="H53" s="56"/>
      <c r="I53" s="56" t="s">
        <v>687</v>
      </c>
    </row>
    <row r="54" spans="2:9" ht="22.05" customHeight="1" x14ac:dyDescent="0.3">
      <c r="B54" s="48" t="s">
        <v>104</v>
      </c>
      <c r="C54" s="49" t="s">
        <v>13</v>
      </c>
      <c r="D54" s="78" t="s">
        <v>13</v>
      </c>
      <c r="E54" s="51" t="s">
        <v>98</v>
      </c>
      <c r="F54" s="52"/>
      <c r="G54" s="53" t="s">
        <v>105</v>
      </c>
      <c r="H54" s="56"/>
      <c r="I54" s="56" t="s">
        <v>687</v>
      </c>
    </row>
    <row r="55" spans="2:9" ht="22.05" customHeight="1" x14ac:dyDescent="0.3">
      <c r="B55" s="48" t="s">
        <v>106</v>
      </c>
      <c r="C55" s="49" t="s">
        <v>13</v>
      </c>
      <c r="D55" s="50"/>
      <c r="E55" s="51" t="s">
        <v>98</v>
      </c>
      <c r="F55" s="52"/>
      <c r="G55" s="53" t="s">
        <v>107</v>
      </c>
      <c r="H55" s="56"/>
      <c r="I55" s="56" t="s">
        <v>687</v>
      </c>
    </row>
    <row r="56" spans="2:9" ht="22.05" customHeight="1" x14ac:dyDescent="0.3">
      <c r="B56" s="48" t="s">
        <v>108</v>
      </c>
      <c r="C56" s="49" t="s">
        <v>13</v>
      </c>
      <c r="D56" s="50"/>
      <c r="E56" s="51" t="s">
        <v>98</v>
      </c>
      <c r="F56" s="52"/>
      <c r="G56" s="53" t="s">
        <v>109</v>
      </c>
      <c r="H56" s="56"/>
      <c r="I56" s="56" t="s">
        <v>687</v>
      </c>
    </row>
    <row r="57" spans="2:9" ht="22.05" customHeight="1" x14ac:dyDescent="0.3">
      <c r="B57" s="48" t="s">
        <v>110</v>
      </c>
      <c r="C57" s="49" t="s">
        <v>13</v>
      </c>
      <c r="D57" s="50"/>
      <c r="E57" s="51" t="s">
        <v>98</v>
      </c>
      <c r="F57" s="52"/>
      <c r="G57" s="53" t="s">
        <v>111</v>
      </c>
      <c r="H57" s="56"/>
      <c r="I57" s="56" t="s">
        <v>687</v>
      </c>
    </row>
    <row r="58" spans="2:9" ht="22.05" customHeight="1" x14ac:dyDescent="0.3">
      <c r="B58" s="48" t="s">
        <v>112</v>
      </c>
      <c r="C58" s="49" t="s">
        <v>13</v>
      </c>
      <c r="D58" s="50"/>
      <c r="E58" s="51" t="s">
        <v>98</v>
      </c>
      <c r="F58" s="52"/>
      <c r="G58" s="53" t="s">
        <v>113</v>
      </c>
      <c r="H58" s="56"/>
      <c r="I58" s="56" t="s">
        <v>687</v>
      </c>
    </row>
    <row r="59" spans="2:9" ht="22.05" customHeight="1" x14ac:dyDescent="0.3">
      <c r="B59" s="48" t="s">
        <v>114</v>
      </c>
      <c r="C59" s="49" t="s">
        <v>13</v>
      </c>
      <c r="D59" s="50"/>
      <c r="E59" s="51" t="s">
        <v>98</v>
      </c>
      <c r="F59" s="52"/>
      <c r="G59" s="53" t="s">
        <v>115</v>
      </c>
      <c r="H59" s="56"/>
      <c r="I59" s="56" t="s">
        <v>687</v>
      </c>
    </row>
    <row r="60" spans="2:9" ht="22.05" customHeight="1" x14ac:dyDescent="0.3">
      <c r="B60" s="48" t="s">
        <v>116</v>
      </c>
      <c r="C60" s="49" t="s">
        <v>13</v>
      </c>
      <c r="D60" s="50"/>
      <c r="E60" s="51" t="s">
        <v>98</v>
      </c>
      <c r="F60" s="52"/>
      <c r="G60" s="53" t="s">
        <v>117</v>
      </c>
      <c r="H60" s="56"/>
      <c r="I60" s="56" t="s">
        <v>687</v>
      </c>
    </row>
    <row r="61" spans="2:9" ht="22.05" customHeight="1" x14ac:dyDescent="0.3">
      <c r="B61" s="48" t="s">
        <v>118</v>
      </c>
      <c r="C61" s="49" t="s">
        <v>13</v>
      </c>
      <c r="D61" s="50"/>
      <c r="E61" s="51" t="s">
        <v>98</v>
      </c>
      <c r="F61" s="52"/>
      <c r="G61" s="53" t="s">
        <v>119</v>
      </c>
      <c r="H61" s="56"/>
      <c r="I61" s="56" t="s">
        <v>687</v>
      </c>
    </row>
    <row r="62" spans="2:9" ht="22.05" customHeight="1" x14ac:dyDescent="0.3">
      <c r="B62" s="48" t="s">
        <v>120</v>
      </c>
      <c r="C62" s="49" t="s">
        <v>13</v>
      </c>
      <c r="D62" s="50"/>
      <c r="E62" s="51" t="s">
        <v>98</v>
      </c>
      <c r="F62" s="52"/>
      <c r="G62" s="53" t="s">
        <v>121</v>
      </c>
      <c r="H62" s="56"/>
      <c r="I62" s="56" t="s">
        <v>687</v>
      </c>
    </row>
    <row r="63" spans="2:9" ht="22.05" customHeight="1" x14ac:dyDescent="0.3">
      <c r="B63" s="48" t="s">
        <v>122</v>
      </c>
      <c r="C63" s="49" t="s">
        <v>13</v>
      </c>
      <c r="D63" s="50"/>
      <c r="E63" s="51" t="s">
        <v>98</v>
      </c>
      <c r="F63" s="52"/>
      <c r="G63" s="53" t="s">
        <v>123</v>
      </c>
      <c r="H63" s="56"/>
      <c r="I63" s="56" t="s">
        <v>687</v>
      </c>
    </row>
    <row r="64" spans="2:9" ht="22.05" customHeight="1" x14ac:dyDescent="0.3">
      <c r="B64" s="48" t="s">
        <v>124</v>
      </c>
      <c r="C64" s="49" t="s">
        <v>13</v>
      </c>
      <c r="D64" s="50"/>
      <c r="E64" s="51" t="s">
        <v>98</v>
      </c>
      <c r="F64" s="52"/>
      <c r="G64" s="53" t="s">
        <v>125</v>
      </c>
      <c r="H64" s="56"/>
      <c r="I64" s="56" t="s">
        <v>687</v>
      </c>
    </row>
    <row r="65" spans="2:9" ht="22.05" customHeight="1" x14ac:dyDescent="0.3">
      <c r="B65" s="48" t="s">
        <v>126</v>
      </c>
      <c r="C65" s="49" t="s">
        <v>13</v>
      </c>
      <c r="D65" s="50"/>
      <c r="E65" s="51" t="s">
        <v>98</v>
      </c>
      <c r="F65" s="52"/>
      <c r="G65" s="53" t="s">
        <v>127</v>
      </c>
      <c r="H65" s="56"/>
      <c r="I65" s="56" t="s">
        <v>687</v>
      </c>
    </row>
    <row r="66" spans="2:9" ht="22.05" customHeight="1" x14ac:dyDescent="0.3">
      <c r="B66" s="48" t="s">
        <v>128</v>
      </c>
      <c r="C66" s="49" t="s">
        <v>13</v>
      </c>
      <c r="D66" s="50"/>
      <c r="E66" s="51" t="s">
        <v>98</v>
      </c>
      <c r="F66" s="52"/>
      <c r="G66" s="53" t="s">
        <v>129</v>
      </c>
      <c r="H66" s="56"/>
      <c r="I66" s="56" t="s">
        <v>687</v>
      </c>
    </row>
    <row r="67" spans="2:9" s="64" customFormat="1" ht="22.05" customHeight="1" x14ac:dyDescent="0.3">
      <c r="B67" s="48" t="s">
        <v>740</v>
      </c>
      <c r="C67" s="66" t="s">
        <v>13</v>
      </c>
      <c r="D67" s="50"/>
      <c r="E67" s="51" t="str">
        <f>E51</f>
        <v>SVT + HGGSP ou SVT + Physique-Chimie</v>
      </c>
      <c r="F67" s="52"/>
      <c r="G67" s="53" t="s">
        <v>741</v>
      </c>
      <c r="H67" s="56"/>
      <c r="I67" s="56" t="str">
        <f>I51</f>
        <v>SVT+HGGSP | SVT+PC</v>
      </c>
    </row>
    <row r="68" spans="2:9" ht="6" customHeight="1" x14ac:dyDescent="0.3"/>
    <row r="69" spans="2:9" ht="25.95" customHeight="1" x14ac:dyDescent="0.3">
      <c r="B69" s="45" t="s">
        <v>130</v>
      </c>
      <c r="C69" s="44"/>
      <c r="D69" s="44"/>
      <c r="E69" s="46" t="s">
        <v>131</v>
      </c>
      <c r="F69" s="47" t="s">
        <v>132</v>
      </c>
      <c r="G69" s="44"/>
      <c r="H69" s="55" t="s">
        <v>133</v>
      </c>
      <c r="I69" s="55" t="s">
        <v>688</v>
      </c>
    </row>
    <row r="70" spans="2:9" ht="22.05" customHeight="1" x14ac:dyDescent="0.3">
      <c r="B70" s="48" t="s">
        <v>134</v>
      </c>
      <c r="C70" s="49" t="s">
        <v>13</v>
      </c>
      <c r="D70" s="50"/>
      <c r="E70" s="51" t="s">
        <v>131</v>
      </c>
      <c r="F70" s="52" t="s">
        <v>132</v>
      </c>
      <c r="G70" s="53" t="s">
        <v>135</v>
      </c>
      <c r="H70" s="56"/>
      <c r="I70" s="56" t="s">
        <v>688</v>
      </c>
    </row>
    <row r="71" spans="2:9" ht="22.05" customHeight="1" x14ac:dyDescent="0.3">
      <c r="B71" s="48" t="s">
        <v>136</v>
      </c>
      <c r="C71" s="49" t="s">
        <v>13</v>
      </c>
      <c r="D71" s="50"/>
      <c r="E71" s="51" t="s">
        <v>131</v>
      </c>
      <c r="F71" s="52" t="s">
        <v>132</v>
      </c>
      <c r="G71" s="53" t="s">
        <v>137</v>
      </c>
      <c r="H71" s="56"/>
      <c r="I71" s="56" t="s">
        <v>688</v>
      </c>
    </row>
    <row r="72" spans="2:9" ht="22.05" customHeight="1" x14ac:dyDescent="0.3">
      <c r="B72" s="48" t="s">
        <v>138</v>
      </c>
      <c r="C72" s="49" t="s">
        <v>13</v>
      </c>
      <c r="D72" s="50"/>
      <c r="E72" s="51" t="s">
        <v>131</v>
      </c>
      <c r="F72" s="52" t="s">
        <v>132</v>
      </c>
      <c r="G72" s="53" t="s">
        <v>139</v>
      </c>
      <c r="H72" s="56"/>
      <c r="I72" s="56" t="s">
        <v>688</v>
      </c>
    </row>
    <row r="73" spans="2:9" ht="22.05" customHeight="1" x14ac:dyDescent="0.3">
      <c r="B73" s="48" t="s">
        <v>140</v>
      </c>
      <c r="C73" s="49" t="s">
        <v>13</v>
      </c>
      <c r="D73" s="50"/>
      <c r="E73" s="51" t="s">
        <v>131</v>
      </c>
      <c r="F73" s="52" t="s">
        <v>132</v>
      </c>
      <c r="G73" s="53" t="s">
        <v>141</v>
      </c>
      <c r="H73" s="56"/>
      <c r="I73" s="56" t="s">
        <v>688</v>
      </c>
    </row>
    <row r="74" spans="2:9" ht="22.05" customHeight="1" x14ac:dyDescent="0.3">
      <c r="B74" s="48" t="s">
        <v>71</v>
      </c>
      <c r="C74" s="49" t="s">
        <v>13</v>
      </c>
      <c r="D74" s="50"/>
      <c r="E74" s="51" t="s">
        <v>131</v>
      </c>
      <c r="F74" s="52" t="s">
        <v>132</v>
      </c>
      <c r="G74" s="53" t="s">
        <v>72</v>
      </c>
      <c r="H74" s="56"/>
      <c r="I74" s="56" t="s">
        <v>688</v>
      </c>
    </row>
    <row r="75" spans="2:9" ht="6" customHeight="1" x14ac:dyDescent="0.3"/>
    <row r="76" spans="2:9" ht="25.95" customHeight="1" x14ac:dyDescent="0.3">
      <c r="B76" s="45" t="s">
        <v>142</v>
      </c>
      <c r="C76" s="44"/>
      <c r="D76" s="44"/>
      <c r="E76" s="46" t="s">
        <v>9</v>
      </c>
      <c r="F76" s="47"/>
      <c r="G76" s="44"/>
      <c r="H76" s="55" t="s">
        <v>143</v>
      </c>
      <c r="I76" s="55" t="s">
        <v>686</v>
      </c>
    </row>
    <row r="77" spans="2:9" ht="22.05" customHeight="1" x14ac:dyDescent="0.3">
      <c r="B77" s="48" t="s">
        <v>144</v>
      </c>
      <c r="C77" s="49" t="s">
        <v>13</v>
      </c>
      <c r="D77" s="50"/>
      <c r="E77" s="51" t="s">
        <v>9</v>
      </c>
      <c r="F77" s="52"/>
      <c r="G77" s="53" t="s">
        <v>145</v>
      </c>
      <c r="H77" s="56"/>
      <c r="I77" s="56" t="s">
        <v>686</v>
      </c>
    </row>
    <row r="78" spans="2:9" ht="22.05" customHeight="1" x14ac:dyDescent="0.3">
      <c r="B78" s="48" t="s">
        <v>146</v>
      </c>
      <c r="C78" s="49" t="s">
        <v>13</v>
      </c>
      <c r="D78" s="50"/>
      <c r="E78" s="51" t="s">
        <v>9</v>
      </c>
      <c r="F78" s="52"/>
      <c r="G78" s="53" t="s">
        <v>147</v>
      </c>
      <c r="H78" s="56"/>
      <c r="I78" s="56" t="s">
        <v>686</v>
      </c>
    </row>
    <row r="79" spans="2:9" ht="22.05" customHeight="1" x14ac:dyDescent="0.3">
      <c r="B79" s="48" t="s">
        <v>148</v>
      </c>
      <c r="C79" s="49" t="s">
        <v>13</v>
      </c>
      <c r="D79" s="50"/>
      <c r="E79" s="51" t="s">
        <v>9</v>
      </c>
      <c r="F79" s="52"/>
      <c r="G79" s="53" t="s">
        <v>149</v>
      </c>
      <c r="H79" s="56"/>
      <c r="I79" s="56" t="s">
        <v>686</v>
      </c>
    </row>
    <row r="80" spans="2:9" ht="22.05" customHeight="1" x14ac:dyDescent="0.3">
      <c r="B80" s="48" t="s">
        <v>150</v>
      </c>
      <c r="C80" s="49" t="s">
        <v>13</v>
      </c>
      <c r="D80" s="50"/>
      <c r="E80" s="51" t="s">
        <v>9</v>
      </c>
      <c r="F80" s="52"/>
      <c r="G80" s="53" t="s">
        <v>151</v>
      </c>
      <c r="H80" s="56"/>
      <c r="I80" s="56" t="s">
        <v>686</v>
      </c>
    </row>
    <row r="81" spans="2:9" ht="22.05" customHeight="1" x14ac:dyDescent="0.3">
      <c r="B81" s="48" t="s">
        <v>152</v>
      </c>
      <c r="C81" s="49" t="s">
        <v>13</v>
      </c>
      <c r="D81" s="50"/>
      <c r="E81" s="51" t="s">
        <v>9</v>
      </c>
      <c r="F81" s="52"/>
      <c r="G81" s="53" t="s">
        <v>153</v>
      </c>
      <c r="H81" s="56"/>
      <c r="I81" s="56" t="s">
        <v>686</v>
      </c>
    </row>
    <row r="82" spans="2:9" ht="22.05" customHeight="1" x14ac:dyDescent="0.3">
      <c r="B82" s="48" t="s">
        <v>154</v>
      </c>
      <c r="C82" s="49" t="s">
        <v>13</v>
      </c>
      <c r="D82" s="50"/>
      <c r="E82" s="51" t="s">
        <v>9</v>
      </c>
      <c r="F82" s="52"/>
      <c r="G82" s="53" t="s">
        <v>155</v>
      </c>
      <c r="H82" s="56"/>
      <c r="I82" s="56" t="s">
        <v>686</v>
      </c>
    </row>
    <row r="83" spans="2:9" ht="6" customHeight="1" x14ac:dyDescent="0.3"/>
    <row r="84" spans="2:9" ht="25.95" customHeight="1" x14ac:dyDescent="0.3">
      <c r="B84" s="45" t="s">
        <v>156</v>
      </c>
      <c r="C84" s="44"/>
      <c r="D84" s="44"/>
      <c r="E84" s="46" t="s">
        <v>9</v>
      </c>
      <c r="F84" s="47"/>
      <c r="G84" s="44"/>
      <c r="H84" s="55" t="s">
        <v>143</v>
      </c>
      <c r="I84" s="55" t="s">
        <v>686</v>
      </c>
    </row>
    <row r="85" spans="2:9" ht="22.05" customHeight="1" x14ac:dyDescent="0.3">
      <c r="B85" s="48" t="s">
        <v>89</v>
      </c>
      <c r="C85" s="49" t="s">
        <v>13</v>
      </c>
      <c r="D85" s="54" t="s">
        <v>13</v>
      </c>
      <c r="E85" s="51" t="s">
        <v>9</v>
      </c>
      <c r="F85" s="52"/>
      <c r="G85" s="53" t="s">
        <v>90</v>
      </c>
      <c r="H85" s="56"/>
      <c r="I85" s="56" t="s">
        <v>686</v>
      </c>
    </row>
    <row r="86" spans="2:9" ht="22.05" customHeight="1" x14ac:dyDescent="0.3">
      <c r="B86" s="48" t="s">
        <v>157</v>
      </c>
      <c r="C86" s="49" t="s">
        <v>13</v>
      </c>
      <c r="D86" s="50"/>
      <c r="E86" s="51" t="s">
        <v>9</v>
      </c>
      <c r="F86" s="52"/>
      <c r="G86" s="53" t="s">
        <v>158</v>
      </c>
      <c r="H86" s="56"/>
      <c r="I86" s="56" t="s">
        <v>686</v>
      </c>
    </row>
    <row r="87" spans="2:9" ht="22.05" customHeight="1" x14ac:dyDescent="0.3">
      <c r="B87" s="48" t="s">
        <v>159</v>
      </c>
      <c r="C87" s="49" t="s">
        <v>13</v>
      </c>
      <c r="D87" s="50"/>
      <c r="E87" s="51" t="s">
        <v>9</v>
      </c>
      <c r="F87" s="52"/>
      <c r="G87" s="53" t="s">
        <v>160</v>
      </c>
      <c r="H87" s="56"/>
      <c r="I87" s="56" t="s">
        <v>686</v>
      </c>
    </row>
    <row r="88" spans="2:9" ht="22.05" customHeight="1" x14ac:dyDescent="0.3">
      <c r="B88" s="48" t="s">
        <v>51</v>
      </c>
      <c r="C88" s="49" t="s">
        <v>13</v>
      </c>
      <c r="D88" s="50"/>
      <c r="E88" s="51" t="s">
        <v>9</v>
      </c>
      <c r="F88" s="52"/>
      <c r="G88" s="53" t="s">
        <v>52</v>
      </c>
      <c r="H88" s="56"/>
      <c r="I88" s="56" t="s">
        <v>686</v>
      </c>
    </row>
    <row r="89" spans="2:9" ht="6" customHeight="1" x14ac:dyDescent="0.3"/>
    <row r="90" spans="2:9" ht="25.95" customHeight="1" x14ac:dyDescent="0.3">
      <c r="B90" s="45" t="s">
        <v>161</v>
      </c>
      <c r="C90" s="44"/>
      <c r="D90" s="44"/>
      <c r="E90" s="46" t="s">
        <v>9</v>
      </c>
      <c r="F90" s="47"/>
      <c r="G90" s="44"/>
      <c r="H90" s="55" t="s">
        <v>162</v>
      </c>
      <c r="I90" s="55" t="s">
        <v>686</v>
      </c>
    </row>
    <row r="91" spans="2:9" ht="22.05" customHeight="1" x14ac:dyDescent="0.3">
      <c r="B91" s="48" t="s">
        <v>163</v>
      </c>
      <c r="C91" s="49" t="s">
        <v>13</v>
      </c>
      <c r="D91" s="50"/>
      <c r="E91" s="51" t="s">
        <v>9</v>
      </c>
      <c r="F91" s="52"/>
      <c r="G91" s="53" t="s">
        <v>164</v>
      </c>
      <c r="H91" s="56"/>
      <c r="I91" s="56" t="s">
        <v>686</v>
      </c>
    </row>
    <row r="92" spans="2:9" ht="6" customHeight="1" x14ac:dyDescent="0.3"/>
    <row r="93" spans="2:9" ht="25.95" customHeight="1" x14ac:dyDescent="0.3">
      <c r="B93" s="45" t="s">
        <v>165</v>
      </c>
      <c r="C93" s="44"/>
      <c r="D93" s="44"/>
      <c r="E93" s="46" t="s">
        <v>9</v>
      </c>
      <c r="F93" s="47"/>
      <c r="G93" s="44"/>
      <c r="H93" s="55" t="s">
        <v>166</v>
      </c>
      <c r="I93" s="55" t="s">
        <v>686</v>
      </c>
    </row>
    <row r="94" spans="2:9" ht="22.05" customHeight="1" x14ac:dyDescent="0.3">
      <c r="B94" s="48" t="s">
        <v>167</v>
      </c>
      <c r="C94" s="49" t="s">
        <v>13</v>
      </c>
      <c r="D94" s="50"/>
      <c r="E94" s="51" t="s">
        <v>9</v>
      </c>
      <c r="F94" s="52"/>
      <c r="G94" s="53" t="s">
        <v>168</v>
      </c>
      <c r="H94" s="56"/>
      <c r="I94" s="56" t="s">
        <v>686</v>
      </c>
    </row>
    <row r="95" spans="2:9" ht="22.05" customHeight="1" x14ac:dyDescent="0.3">
      <c r="B95" s="48" t="s">
        <v>169</v>
      </c>
      <c r="C95" s="49" t="s">
        <v>13</v>
      </c>
      <c r="D95" s="50"/>
      <c r="E95" s="51" t="s">
        <v>9</v>
      </c>
      <c r="F95" s="52"/>
      <c r="G95" s="53" t="s">
        <v>170</v>
      </c>
      <c r="H95" s="56"/>
      <c r="I95" s="56" t="s">
        <v>686</v>
      </c>
    </row>
    <row r="96" spans="2:9" ht="22.05" customHeight="1" x14ac:dyDescent="0.3">
      <c r="B96" s="48" t="s">
        <v>171</v>
      </c>
      <c r="C96" s="49" t="s">
        <v>13</v>
      </c>
      <c r="D96" s="50"/>
      <c r="E96" s="51" t="s">
        <v>9</v>
      </c>
      <c r="F96" s="52"/>
      <c r="G96" s="53" t="s">
        <v>172</v>
      </c>
      <c r="H96" s="56"/>
      <c r="I96" s="56" t="s">
        <v>686</v>
      </c>
    </row>
    <row r="97" spans="2:9" ht="22.05" customHeight="1" x14ac:dyDescent="0.3">
      <c r="B97" s="48" t="s">
        <v>173</v>
      </c>
      <c r="C97" s="49" t="s">
        <v>13</v>
      </c>
      <c r="D97" s="50"/>
      <c r="E97" s="51" t="s">
        <v>9</v>
      </c>
      <c r="F97" s="52"/>
      <c r="G97" s="53" t="s">
        <v>174</v>
      </c>
      <c r="H97" s="56"/>
      <c r="I97" s="56" t="s">
        <v>686</v>
      </c>
    </row>
    <row r="98" spans="2:9" ht="22.05" customHeight="1" x14ac:dyDescent="0.3">
      <c r="B98" s="48" t="s">
        <v>175</v>
      </c>
      <c r="C98" s="49" t="s">
        <v>13</v>
      </c>
      <c r="D98" s="50"/>
      <c r="E98" s="51" t="s">
        <v>9</v>
      </c>
      <c r="F98" s="52"/>
      <c r="G98" s="53" t="s">
        <v>176</v>
      </c>
      <c r="H98" s="56"/>
      <c r="I98" s="56" t="s">
        <v>686</v>
      </c>
    </row>
    <row r="99" spans="2:9" ht="22.05" customHeight="1" x14ac:dyDescent="0.3">
      <c r="B99" s="48" t="s">
        <v>177</v>
      </c>
      <c r="C99" s="49" t="s">
        <v>13</v>
      </c>
      <c r="D99" s="50"/>
      <c r="E99" s="51" t="s">
        <v>9</v>
      </c>
      <c r="F99" s="52"/>
      <c r="G99" s="53" t="s">
        <v>178</v>
      </c>
      <c r="H99" s="56"/>
      <c r="I99" s="56" t="s">
        <v>686</v>
      </c>
    </row>
    <row r="100" spans="2:9" s="64" customFormat="1" ht="22.05" customHeight="1" x14ac:dyDescent="0.3">
      <c r="B100" s="48" t="s">
        <v>730</v>
      </c>
      <c r="C100" s="66" t="s">
        <v>13</v>
      </c>
      <c r="D100" s="50"/>
      <c r="E100" s="51" t="str">
        <f>E93</f>
        <v>SVT + Physique-Chimie ou SVT + Maths</v>
      </c>
      <c r="F100" s="52"/>
      <c r="G100" s="53" t="s">
        <v>731</v>
      </c>
      <c r="H100" s="56"/>
      <c r="I100" s="56" t="str">
        <f>I93</f>
        <v>SVT+PC | SVT+Maths</v>
      </c>
    </row>
    <row r="101" spans="2:9" ht="6" customHeight="1" x14ac:dyDescent="0.3"/>
    <row r="102" spans="2:9" ht="30" customHeight="1" thickBot="1" x14ac:dyDescent="0.35">
      <c r="B102" s="45" t="s">
        <v>179</v>
      </c>
      <c r="C102" s="44"/>
      <c r="D102" s="44"/>
      <c r="E102" s="46" t="s">
        <v>709</v>
      </c>
      <c r="F102" s="47" t="s">
        <v>180</v>
      </c>
      <c r="G102" s="44"/>
      <c r="H102" s="55" t="s">
        <v>181</v>
      </c>
      <c r="I102" s="55" t="s">
        <v>689</v>
      </c>
    </row>
    <row r="103" spans="2:9" ht="22.05" customHeight="1" x14ac:dyDescent="0.3">
      <c r="B103" s="48" t="s">
        <v>182</v>
      </c>
      <c r="C103" s="49" t="s">
        <v>13</v>
      </c>
      <c r="D103" s="50"/>
      <c r="E103" s="51" t="s">
        <v>709</v>
      </c>
      <c r="F103" s="52" t="s">
        <v>180</v>
      </c>
      <c r="G103" s="53" t="s">
        <v>183</v>
      </c>
      <c r="H103" s="56"/>
      <c r="I103" s="56" t="s">
        <v>689</v>
      </c>
    </row>
    <row r="104" spans="2:9" s="24" customFormat="1" ht="22.05" customHeight="1" x14ac:dyDescent="0.3">
      <c r="B104" s="48" t="s">
        <v>184</v>
      </c>
      <c r="C104" s="49" t="s">
        <v>13</v>
      </c>
      <c r="D104" s="50"/>
      <c r="E104" s="51" t="s">
        <v>709</v>
      </c>
      <c r="F104" s="52" t="s">
        <v>180</v>
      </c>
      <c r="G104" s="53" t="s">
        <v>185</v>
      </c>
      <c r="H104" s="56"/>
      <c r="I104" s="56" t="s">
        <v>689</v>
      </c>
    </row>
    <row r="105" spans="2:9" ht="6" customHeight="1" x14ac:dyDescent="0.3"/>
    <row r="106" spans="2:9" ht="25.95" customHeight="1" thickBot="1" x14ac:dyDescent="0.35">
      <c r="B106" s="45" t="s">
        <v>186</v>
      </c>
      <c r="C106" s="44"/>
      <c r="D106" s="44"/>
      <c r="E106" s="46" t="s">
        <v>9</v>
      </c>
      <c r="F106" s="47"/>
      <c r="G106" s="44"/>
      <c r="H106" s="55" t="s">
        <v>187</v>
      </c>
      <c r="I106" s="55" t="s">
        <v>686</v>
      </c>
    </row>
    <row r="107" spans="2:9" ht="22.05" customHeight="1" x14ac:dyDescent="0.3">
      <c r="B107" s="48" t="s">
        <v>188</v>
      </c>
      <c r="C107" s="49" t="s">
        <v>13</v>
      </c>
      <c r="D107" s="50"/>
      <c r="E107" s="51" t="s">
        <v>9</v>
      </c>
      <c r="F107" s="52"/>
      <c r="G107" s="53" t="s">
        <v>189</v>
      </c>
      <c r="H107" s="56"/>
      <c r="I107" s="56" t="s">
        <v>686</v>
      </c>
    </row>
    <row r="108" spans="2:9" ht="22.05" customHeight="1" x14ac:dyDescent="0.3">
      <c r="B108" s="48" t="s">
        <v>190</v>
      </c>
      <c r="C108" s="49" t="s">
        <v>13</v>
      </c>
      <c r="D108" s="50"/>
      <c r="E108" s="51" t="s">
        <v>9</v>
      </c>
      <c r="F108" s="52"/>
      <c r="G108" s="53" t="s">
        <v>191</v>
      </c>
      <c r="H108" s="56"/>
      <c r="I108" s="56" t="s">
        <v>686</v>
      </c>
    </row>
    <row r="109" spans="2:9" ht="22.05" customHeight="1" x14ac:dyDescent="0.3">
      <c r="B109" s="48" t="s">
        <v>184</v>
      </c>
      <c r="C109" s="49" t="s">
        <v>13</v>
      </c>
      <c r="D109" s="50"/>
      <c r="E109" s="51" t="s">
        <v>9</v>
      </c>
      <c r="F109" s="52"/>
      <c r="G109" s="53" t="s">
        <v>185</v>
      </c>
      <c r="H109" s="56"/>
      <c r="I109" s="56" t="s">
        <v>686</v>
      </c>
    </row>
    <row r="110" spans="2:9" ht="22.05" customHeight="1" x14ac:dyDescent="0.3">
      <c r="B110" s="48" t="s">
        <v>192</v>
      </c>
      <c r="C110" s="49" t="s">
        <v>13</v>
      </c>
      <c r="D110" s="50"/>
      <c r="E110" s="51" t="s">
        <v>9</v>
      </c>
      <c r="F110" s="52"/>
      <c r="G110" s="53" t="s">
        <v>193</v>
      </c>
      <c r="H110" s="56"/>
      <c r="I110" s="56" t="s">
        <v>686</v>
      </c>
    </row>
    <row r="111" spans="2:9" ht="22.05" customHeight="1" x14ac:dyDescent="0.3">
      <c r="B111" s="48" t="s">
        <v>194</v>
      </c>
      <c r="C111" s="49" t="s">
        <v>13</v>
      </c>
      <c r="D111" s="50"/>
      <c r="E111" s="51" t="s">
        <v>9</v>
      </c>
      <c r="F111" s="52"/>
      <c r="G111" s="53" t="s">
        <v>195</v>
      </c>
      <c r="H111" s="56"/>
      <c r="I111" s="56" t="s">
        <v>686</v>
      </c>
    </row>
    <row r="112" spans="2:9" ht="6" customHeight="1" x14ac:dyDescent="0.3"/>
    <row r="113" spans="2:9" ht="25.95" customHeight="1" x14ac:dyDescent="0.3">
      <c r="B113" s="45" t="s">
        <v>196</v>
      </c>
      <c r="C113" s="44"/>
      <c r="D113" s="44"/>
      <c r="E113" s="46" t="s">
        <v>131</v>
      </c>
      <c r="F113" s="47" t="s">
        <v>132</v>
      </c>
      <c r="G113" s="44"/>
      <c r="H113" s="55" t="s">
        <v>197</v>
      </c>
      <c r="I113" s="55" t="s">
        <v>688</v>
      </c>
    </row>
    <row r="114" spans="2:9" ht="22.05" customHeight="1" x14ac:dyDescent="0.3">
      <c r="B114" s="48" t="s">
        <v>198</v>
      </c>
      <c r="C114" s="49" t="s">
        <v>13</v>
      </c>
      <c r="D114" s="50"/>
      <c r="E114" s="51" t="s">
        <v>131</v>
      </c>
      <c r="F114" s="52" t="s">
        <v>132</v>
      </c>
      <c r="G114" s="53" t="s">
        <v>199</v>
      </c>
      <c r="H114" s="56"/>
      <c r="I114" s="56" t="s">
        <v>688</v>
      </c>
    </row>
    <row r="115" spans="2:9" ht="22.05" customHeight="1" x14ac:dyDescent="0.3">
      <c r="B115" s="48" t="s">
        <v>200</v>
      </c>
      <c r="C115" s="49" t="s">
        <v>13</v>
      </c>
      <c r="D115" s="50"/>
      <c r="E115" s="51" t="s">
        <v>131</v>
      </c>
      <c r="F115" s="52" t="s">
        <v>132</v>
      </c>
      <c r="G115" s="53" t="s">
        <v>201</v>
      </c>
      <c r="H115" s="56"/>
      <c r="I115" s="56" t="s">
        <v>688</v>
      </c>
    </row>
    <row r="116" spans="2:9" ht="22.05" customHeight="1" x14ac:dyDescent="0.3">
      <c r="B116" s="48" t="s">
        <v>202</v>
      </c>
      <c r="C116" s="49" t="s">
        <v>13</v>
      </c>
      <c r="D116" s="50"/>
      <c r="E116" s="51" t="s">
        <v>131</v>
      </c>
      <c r="F116" s="52" t="s">
        <v>132</v>
      </c>
      <c r="G116" s="53" t="s">
        <v>203</v>
      </c>
      <c r="H116" s="56"/>
      <c r="I116" s="56" t="s">
        <v>688</v>
      </c>
    </row>
    <row r="117" spans="2:9" ht="22.05" customHeight="1" x14ac:dyDescent="0.3">
      <c r="B117" s="48" t="s">
        <v>204</v>
      </c>
      <c r="C117" s="49" t="s">
        <v>13</v>
      </c>
      <c r="D117" s="50"/>
      <c r="E117" s="51" t="s">
        <v>131</v>
      </c>
      <c r="F117" s="52" t="s">
        <v>132</v>
      </c>
      <c r="G117" s="53" t="s">
        <v>205</v>
      </c>
      <c r="H117" s="56"/>
      <c r="I117" s="56" t="s">
        <v>688</v>
      </c>
    </row>
    <row r="118" spans="2:9" ht="22.05" customHeight="1" x14ac:dyDescent="0.3">
      <c r="B118" s="48" t="s">
        <v>206</v>
      </c>
      <c r="C118" s="49" t="s">
        <v>13</v>
      </c>
      <c r="D118" s="54" t="s">
        <v>13</v>
      </c>
      <c r="E118" s="51" t="s">
        <v>131</v>
      </c>
      <c r="F118" s="52" t="s">
        <v>132</v>
      </c>
      <c r="G118" s="53" t="s">
        <v>207</v>
      </c>
      <c r="H118" s="56"/>
      <c r="I118" s="56" t="s">
        <v>688</v>
      </c>
    </row>
    <row r="119" spans="2:9" ht="22.05" customHeight="1" x14ac:dyDescent="0.3">
      <c r="B119" s="48" t="s">
        <v>208</v>
      </c>
      <c r="C119" s="49" t="s">
        <v>13</v>
      </c>
      <c r="D119" s="50"/>
      <c r="E119" s="51" t="s">
        <v>131</v>
      </c>
      <c r="F119" s="52" t="s">
        <v>132</v>
      </c>
      <c r="G119" s="53" t="s">
        <v>209</v>
      </c>
      <c r="H119" s="56"/>
      <c r="I119" s="56" t="s">
        <v>688</v>
      </c>
    </row>
    <row r="120" spans="2:9" ht="22.05" customHeight="1" x14ac:dyDescent="0.3">
      <c r="B120" s="48" t="s">
        <v>210</v>
      </c>
      <c r="C120" s="49" t="s">
        <v>13</v>
      </c>
      <c r="D120" s="50"/>
      <c r="E120" s="51" t="s">
        <v>131</v>
      </c>
      <c r="F120" s="52" t="s">
        <v>132</v>
      </c>
      <c r="G120" s="53" t="s">
        <v>211</v>
      </c>
      <c r="H120" s="56"/>
      <c r="I120" s="56" t="s">
        <v>688</v>
      </c>
    </row>
    <row r="121" spans="2:9" ht="6" customHeight="1" x14ac:dyDescent="0.3"/>
    <row r="122" spans="2:9" ht="30" customHeight="1" x14ac:dyDescent="0.3">
      <c r="B122" s="45" t="s">
        <v>212</v>
      </c>
      <c r="C122" s="44"/>
      <c r="D122" s="44"/>
      <c r="E122" s="46" t="s">
        <v>742</v>
      </c>
      <c r="F122" s="47" t="s">
        <v>213</v>
      </c>
      <c r="G122" s="44"/>
      <c r="H122" s="55" t="s">
        <v>214</v>
      </c>
      <c r="I122" s="55" t="s">
        <v>746</v>
      </c>
    </row>
    <row r="123" spans="2:9" ht="22.05" customHeight="1" x14ac:dyDescent="0.3">
      <c r="B123" s="48" t="s">
        <v>215</v>
      </c>
      <c r="C123" s="49" t="s">
        <v>13</v>
      </c>
      <c r="D123" s="50"/>
      <c r="E123" s="51" t="s">
        <v>742</v>
      </c>
      <c r="F123" s="52" t="s">
        <v>213</v>
      </c>
      <c r="G123" s="53" t="s">
        <v>216</v>
      </c>
      <c r="H123" s="56"/>
      <c r="I123" s="56" t="s">
        <v>746</v>
      </c>
    </row>
    <row r="124" spans="2:9" ht="22.05" customHeight="1" x14ac:dyDescent="0.3">
      <c r="B124" s="48" t="s">
        <v>217</v>
      </c>
      <c r="C124" s="49" t="s">
        <v>13</v>
      </c>
      <c r="D124" s="50"/>
      <c r="E124" s="51" t="s">
        <v>742</v>
      </c>
      <c r="F124" s="52" t="s">
        <v>213</v>
      </c>
      <c r="G124" s="53" t="s">
        <v>218</v>
      </c>
      <c r="H124" s="56"/>
      <c r="I124" s="56" t="s">
        <v>746</v>
      </c>
    </row>
    <row r="125" spans="2:9" ht="22.05" customHeight="1" x14ac:dyDescent="0.3">
      <c r="B125" s="48" t="s">
        <v>219</v>
      </c>
      <c r="C125" s="49" t="s">
        <v>13</v>
      </c>
      <c r="D125" s="50"/>
      <c r="E125" s="51" t="s">
        <v>742</v>
      </c>
      <c r="F125" s="52" t="s">
        <v>213</v>
      </c>
      <c r="G125" s="53" t="s">
        <v>220</v>
      </c>
      <c r="H125" s="56"/>
      <c r="I125" s="56" t="s">
        <v>746</v>
      </c>
    </row>
    <row r="126" spans="2:9" ht="22.05" customHeight="1" x14ac:dyDescent="0.3">
      <c r="B126" s="48" t="s">
        <v>221</v>
      </c>
      <c r="C126" s="49" t="s">
        <v>13</v>
      </c>
      <c r="D126" s="50"/>
      <c r="E126" s="51" t="s">
        <v>742</v>
      </c>
      <c r="F126" s="52" t="s">
        <v>213</v>
      </c>
      <c r="G126" s="53" t="s">
        <v>222</v>
      </c>
      <c r="H126" s="56"/>
      <c r="I126" s="56" t="s">
        <v>746</v>
      </c>
    </row>
    <row r="127" spans="2:9" ht="6" customHeight="1" x14ac:dyDescent="0.3"/>
    <row r="128" spans="2:9" ht="25.95" customHeight="1" x14ac:dyDescent="0.3">
      <c r="B128" s="45" t="s">
        <v>223</v>
      </c>
      <c r="C128" s="44"/>
      <c r="D128" s="44"/>
      <c r="E128" s="46" t="s">
        <v>224</v>
      </c>
      <c r="F128" s="47" t="s">
        <v>132</v>
      </c>
      <c r="G128" s="44"/>
      <c r="H128" s="55" t="s">
        <v>225</v>
      </c>
      <c r="I128" s="55" t="s">
        <v>690</v>
      </c>
    </row>
    <row r="129" spans="2:9" ht="22.05" customHeight="1" x14ac:dyDescent="0.3">
      <c r="B129" s="48" t="s">
        <v>226</v>
      </c>
      <c r="C129" s="49" t="s">
        <v>13</v>
      </c>
      <c r="D129" s="54" t="s">
        <v>13</v>
      </c>
      <c r="E129" s="51" t="s">
        <v>224</v>
      </c>
      <c r="F129" s="52" t="s">
        <v>132</v>
      </c>
      <c r="G129" s="53" t="s">
        <v>227</v>
      </c>
      <c r="H129" s="56"/>
      <c r="I129" s="56" t="s">
        <v>690</v>
      </c>
    </row>
    <row r="130" spans="2:9" ht="22.05" customHeight="1" x14ac:dyDescent="0.3">
      <c r="B130" s="48" t="s">
        <v>157</v>
      </c>
      <c r="C130" s="49" t="s">
        <v>13</v>
      </c>
      <c r="D130" s="50"/>
      <c r="E130" s="51" t="s">
        <v>224</v>
      </c>
      <c r="F130" s="52" t="s">
        <v>132</v>
      </c>
      <c r="G130" s="53" t="s">
        <v>228</v>
      </c>
      <c r="H130" s="56"/>
      <c r="I130" s="56" t="s">
        <v>690</v>
      </c>
    </row>
    <row r="131" spans="2:9" ht="22.05" customHeight="1" x14ac:dyDescent="0.3">
      <c r="B131" s="48" t="s">
        <v>229</v>
      </c>
      <c r="C131" s="49" t="s">
        <v>13</v>
      </c>
      <c r="D131" s="50"/>
      <c r="E131" s="51" t="s">
        <v>224</v>
      </c>
      <c r="F131" s="52" t="s">
        <v>132</v>
      </c>
      <c r="G131" s="53" t="s">
        <v>230</v>
      </c>
      <c r="H131" s="56"/>
      <c r="I131" s="56" t="s">
        <v>690</v>
      </c>
    </row>
    <row r="132" spans="2:9" ht="6" customHeight="1" x14ac:dyDescent="0.3">
      <c r="B132" s="48" t="s">
        <v>726</v>
      </c>
      <c r="C132" s="66" t="s">
        <v>13</v>
      </c>
      <c r="D132" s="50"/>
      <c r="E132" s="51" t="str">
        <f>E128</f>
        <v>SVT + Maths ou SVT + Physique-Chimie</v>
      </c>
      <c r="F132" s="52" t="str">
        <f>F128</f>
        <v>Maths conservée en Tle conseillée — sinon Maths compl. (option)</v>
      </c>
      <c r="G132" s="53" t="s">
        <v>727</v>
      </c>
      <c r="H132" s="56"/>
      <c r="I132" s="56" t="str">
        <f>I128</f>
        <v>SVT+Maths | SVT+PC</v>
      </c>
    </row>
    <row r="133" spans="2:9" s="64" customFormat="1" ht="6" customHeight="1" x14ac:dyDescent="0.3">
      <c r="B133" s="48" t="s">
        <v>728</v>
      </c>
      <c r="C133" s="66" t="s">
        <v>13</v>
      </c>
      <c r="D133" s="50"/>
      <c r="E133" s="51" t="str">
        <f>E128</f>
        <v>SVT + Maths ou SVT + Physique-Chimie</v>
      </c>
      <c r="F133" s="52" t="str">
        <f>F128</f>
        <v>Maths conservée en Tle conseillée — sinon Maths compl. (option)</v>
      </c>
      <c r="G133" s="53" t="s">
        <v>729</v>
      </c>
      <c r="H133" s="56"/>
      <c r="I133" s="56" t="str">
        <f>I128</f>
        <v>SVT+Maths | SVT+PC</v>
      </c>
    </row>
    <row r="134" spans="2:9" s="64" customFormat="1" ht="6" customHeight="1" x14ac:dyDescent="0.3"/>
    <row r="135" spans="2:9" ht="25.95" customHeight="1" thickBot="1" x14ac:dyDescent="0.35">
      <c r="B135" s="45" t="s">
        <v>231</v>
      </c>
      <c r="C135" s="44"/>
      <c r="D135" s="44"/>
      <c r="E135" s="46" t="s">
        <v>232</v>
      </c>
      <c r="F135" s="47"/>
      <c r="G135" s="44"/>
      <c r="H135" s="55" t="s">
        <v>233</v>
      </c>
      <c r="I135" s="55" t="s">
        <v>691</v>
      </c>
    </row>
    <row r="136" spans="2:9" ht="22.05" customHeight="1" x14ac:dyDescent="0.3">
      <c r="B136" s="48" t="s">
        <v>234</v>
      </c>
      <c r="C136" s="49" t="s">
        <v>13</v>
      </c>
      <c r="D136" s="50"/>
      <c r="E136" s="51" t="s">
        <v>232</v>
      </c>
      <c r="F136" s="52"/>
      <c r="G136" s="53" t="s">
        <v>235</v>
      </c>
      <c r="H136" s="56"/>
      <c r="I136" s="56" t="s">
        <v>691</v>
      </c>
    </row>
    <row r="137" spans="2:9" ht="22.05" customHeight="1" x14ac:dyDescent="0.3">
      <c r="B137" s="48" t="s">
        <v>236</v>
      </c>
      <c r="C137" s="49" t="s">
        <v>13</v>
      </c>
      <c r="D137" s="50"/>
      <c r="E137" s="51" t="s">
        <v>232</v>
      </c>
      <c r="F137" s="52"/>
      <c r="G137" s="53" t="s">
        <v>237</v>
      </c>
      <c r="H137" s="56"/>
      <c r="I137" s="56" t="s">
        <v>691</v>
      </c>
    </row>
    <row r="138" spans="2:9" ht="6" customHeight="1" x14ac:dyDescent="0.3"/>
    <row r="139" spans="2:9" ht="25.95" customHeight="1" x14ac:dyDescent="0.3">
      <c r="B139" s="45" t="s">
        <v>238</v>
      </c>
      <c r="C139" s="44"/>
      <c r="D139" s="44"/>
      <c r="E139" s="46" t="s">
        <v>9</v>
      </c>
      <c r="F139" s="47" t="s">
        <v>132</v>
      </c>
      <c r="G139" s="44"/>
      <c r="H139" s="55" t="s">
        <v>239</v>
      </c>
      <c r="I139" s="55" t="s">
        <v>686</v>
      </c>
    </row>
    <row r="140" spans="2:9" ht="22.05" customHeight="1" x14ac:dyDescent="0.3">
      <c r="B140" s="48" t="s">
        <v>240</v>
      </c>
      <c r="C140" s="49" t="s">
        <v>13</v>
      </c>
      <c r="D140" s="50"/>
      <c r="E140" s="51" t="s">
        <v>9</v>
      </c>
      <c r="F140" s="52" t="s">
        <v>132</v>
      </c>
      <c r="G140" s="53" t="s">
        <v>241</v>
      </c>
      <c r="H140" s="56"/>
      <c r="I140" s="56" t="s">
        <v>686</v>
      </c>
    </row>
    <row r="141" spans="2:9" ht="6" customHeight="1" x14ac:dyDescent="0.3"/>
    <row r="142" spans="2:9" ht="30" customHeight="1" x14ac:dyDescent="0.3">
      <c r="B142" s="45" t="s">
        <v>242</v>
      </c>
      <c r="C142" s="44"/>
      <c r="D142" s="44"/>
      <c r="E142" s="46" t="s">
        <v>710</v>
      </c>
      <c r="F142" s="47" t="s">
        <v>243</v>
      </c>
      <c r="G142" s="44"/>
      <c r="H142" s="55" t="s">
        <v>244</v>
      </c>
      <c r="I142" s="55" t="s">
        <v>692</v>
      </c>
    </row>
    <row r="143" spans="2:9" ht="22.05" customHeight="1" x14ac:dyDescent="0.3">
      <c r="B143" s="48" t="s">
        <v>245</v>
      </c>
      <c r="C143" s="49" t="s">
        <v>13</v>
      </c>
      <c r="D143" s="50"/>
      <c r="E143" s="51" t="s">
        <v>710</v>
      </c>
      <c r="F143" s="52" t="s">
        <v>243</v>
      </c>
      <c r="G143" s="53" t="s">
        <v>246</v>
      </c>
      <c r="H143" s="56"/>
      <c r="I143" s="56" t="s">
        <v>692</v>
      </c>
    </row>
    <row r="144" spans="2:9" ht="6" customHeight="1" x14ac:dyDescent="0.3"/>
    <row r="145" spans="2:9" ht="25.95" customHeight="1" x14ac:dyDescent="0.3">
      <c r="B145" s="45" t="s">
        <v>247</v>
      </c>
      <c r="C145" s="44"/>
      <c r="D145" s="44"/>
      <c r="E145" s="46" t="s">
        <v>232</v>
      </c>
      <c r="F145" s="47"/>
      <c r="G145" s="44"/>
      <c r="H145" s="55" t="s">
        <v>248</v>
      </c>
      <c r="I145" s="55" t="s">
        <v>691</v>
      </c>
    </row>
    <row r="146" spans="2:9" ht="22.05" customHeight="1" x14ac:dyDescent="0.3">
      <c r="B146" s="48" t="s">
        <v>249</v>
      </c>
      <c r="C146" s="49" t="s">
        <v>13</v>
      </c>
      <c r="D146" s="54" t="s">
        <v>13</v>
      </c>
      <c r="E146" s="51" t="s">
        <v>232</v>
      </c>
      <c r="F146" s="52"/>
      <c r="G146" s="53" t="s">
        <v>250</v>
      </c>
      <c r="H146" s="56"/>
      <c r="I146" s="56" t="s">
        <v>691</v>
      </c>
    </row>
    <row r="147" spans="2:9" ht="22.05" customHeight="1" x14ac:dyDescent="0.3">
      <c r="B147" s="48" t="s">
        <v>251</v>
      </c>
      <c r="C147" s="49" t="s">
        <v>13</v>
      </c>
      <c r="D147" s="50"/>
      <c r="E147" s="51" t="s">
        <v>232</v>
      </c>
      <c r="F147" s="52"/>
      <c r="G147" s="53" t="s">
        <v>252</v>
      </c>
      <c r="H147" s="56"/>
      <c r="I147" s="56" t="s">
        <v>691</v>
      </c>
    </row>
    <row r="148" spans="2:9" s="64" customFormat="1" ht="22.05" customHeight="1" x14ac:dyDescent="0.3">
      <c r="B148" s="48" t="s">
        <v>681</v>
      </c>
      <c r="C148" s="66" t="s">
        <v>13</v>
      </c>
      <c r="D148" s="50"/>
      <c r="E148" s="51" t="s">
        <v>683</v>
      </c>
      <c r="F148" s="52" t="s">
        <v>682</v>
      </c>
      <c r="G148" s="53" t="s">
        <v>684</v>
      </c>
      <c r="H148" s="65"/>
      <c r="I148" s="65" t="s">
        <v>693</v>
      </c>
    </row>
    <row r="149" spans="2:9" ht="22.05" customHeight="1" x14ac:dyDescent="0.3">
      <c r="B149" s="48" t="s">
        <v>112</v>
      </c>
      <c r="C149" s="49" t="s">
        <v>13</v>
      </c>
      <c r="D149" s="50"/>
      <c r="E149" s="51" t="s">
        <v>232</v>
      </c>
      <c r="F149" s="52"/>
      <c r="G149" s="53" t="s">
        <v>113</v>
      </c>
      <c r="H149" s="56"/>
      <c r="I149" s="56" t="s">
        <v>691</v>
      </c>
    </row>
    <row r="150" spans="2:9" ht="6" customHeight="1" x14ac:dyDescent="0.3"/>
    <row r="151" spans="2:9" ht="25.95" customHeight="1" x14ac:dyDescent="0.3">
      <c r="B151" s="45" t="s">
        <v>253</v>
      </c>
      <c r="C151" s="44"/>
      <c r="D151" s="44"/>
      <c r="E151" s="46" t="s">
        <v>9</v>
      </c>
      <c r="F151" s="47"/>
      <c r="G151" s="44"/>
      <c r="H151" s="55" t="s">
        <v>143</v>
      </c>
      <c r="I151" s="55" t="s">
        <v>686</v>
      </c>
    </row>
    <row r="152" spans="2:9" ht="22.05" customHeight="1" x14ac:dyDescent="0.3">
      <c r="B152" s="48" t="s">
        <v>254</v>
      </c>
      <c r="C152" s="49" t="s">
        <v>13</v>
      </c>
      <c r="D152" s="50"/>
      <c r="E152" s="51" t="s">
        <v>9</v>
      </c>
      <c r="F152" s="52"/>
      <c r="G152" s="53" t="s">
        <v>255</v>
      </c>
      <c r="H152" s="56"/>
      <c r="I152" s="56" t="s">
        <v>686</v>
      </c>
    </row>
    <row r="153" spans="2:9" ht="22.05" customHeight="1" x14ac:dyDescent="0.3">
      <c r="B153" s="48" t="s">
        <v>256</v>
      </c>
      <c r="C153" s="49" t="s">
        <v>13</v>
      </c>
      <c r="D153" s="50"/>
      <c r="E153" s="51" t="s">
        <v>9</v>
      </c>
      <c r="F153" s="52"/>
      <c r="G153" s="53" t="s">
        <v>257</v>
      </c>
      <c r="H153" s="56"/>
      <c r="I153" s="56" t="s">
        <v>686</v>
      </c>
    </row>
    <row r="154" spans="2:9" ht="22.05" customHeight="1" x14ac:dyDescent="0.3">
      <c r="B154" s="48" t="s">
        <v>258</v>
      </c>
      <c r="C154" s="49" t="s">
        <v>13</v>
      </c>
      <c r="D154" s="50"/>
      <c r="E154" s="51" t="s">
        <v>9</v>
      </c>
      <c r="F154" s="52"/>
      <c r="G154" s="53" t="s">
        <v>259</v>
      </c>
      <c r="H154" s="56"/>
      <c r="I154" s="56" t="s">
        <v>686</v>
      </c>
    </row>
    <row r="155" spans="2:9" ht="22.05" customHeight="1" x14ac:dyDescent="0.3">
      <c r="B155" s="48" t="s">
        <v>260</v>
      </c>
      <c r="C155" s="49" t="s">
        <v>13</v>
      </c>
      <c r="D155" s="50"/>
      <c r="E155" s="51" t="s">
        <v>9</v>
      </c>
      <c r="F155" s="52"/>
      <c r="G155" s="53" t="s">
        <v>261</v>
      </c>
      <c r="H155" s="56"/>
      <c r="I155" s="56" t="s">
        <v>686</v>
      </c>
    </row>
    <row r="156" spans="2:9" ht="22.05" customHeight="1" x14ac:dyDescent="0.3">
      <c r="B156" s="48" t="s">
        <v>262</v>
      </c>
      <c r="C156" s="49" t="s">
        <v>13</v>
      </c>
      <c r="D156" s="50"/>
      <c r="E156" s="51" t="s">
        <v>9</v>
      </c>
      <c r="F156" s="52"/>
      <c r="G156" s="53" t="s">
        <v>263</v>
      </c>
      <c r="H156" s="56"/>
      <c r="I156" s="56" t="s">
        <v>686</v>
      </c>
    </row>
    <row r="157" spans="2:9" ht="22.05" customHeight="1" x14ac:dyDescent="0.3">
      <c r="B157" s="48" t="s">
        <v>264</v>
      </c>
      <c r="C157" s="49" t="s">
        <v>13</v>
      </c>
      <c r="D157" s="50"/>
      <c r="E157" s="51" t="s">
        <v>9</v>
      </c>
      <c r="F157" s="52"/>
      <c r="G157" s="53" t="s">
        <v>265</v>
      </c>
      <c r="H157" s="56"/>
      <c r="I157" s="56" t="s">
        <v>686</v>
      </c>
    </row>
    <row r="158" spans="2:9" ht="22.05" customHeight="1" x14ac:dyDescent="0.3">
      <c r="B158" s="48" t="s">
        <v>266</v>
      </c>
      <c r="C158" s="49" t="s">
        <v>13</v>
      </c>
      <c r="D158" s="50"/>
      <c r="E158" s="51" t="s">
        <v>9</v>
      </c>
      <c r="F158" s="52"/>
      <c r="G158" s="53" t="s">
        <v>267</v>
      </c>
      <c r="H158" s="56"/>
      <c r="I158" s="56" t="s">
        <v>686</v>
      </c>
    </row>
    <row r="159" spans="2:9" ht="22.05" customHeight="1" x14ac:dyDescent="0.3">
      <c r="B159" s="48" t="s">
        <v>136</v>
      </c>
      <c r="C159" s="49" t="s">
        <v>13</v>
      </c>
      <c r="D159" s="50"/>
      <c r="E159" s="51" t="s">
        <v>9</v>
      </c>
      <c r="F159" s="52"/>
      <c r="G159" s="53" t="s">
        <v>268</v>
      </c>
      <c r="H159" s="56"/>
      <c r="I159" s="56" t="s">
        <v>686</v>
      </c>
    </row>
    <row r="160" spans="2:9" ht="22.05" customHeight="1" x14ac:dyDescent="0.3">
      <c r="B160" s="48" t="s">
        <v>269</v>
      </c>
      <c r="C160" s="49" t="s">
        <v>13</v>
      </c>
      <c r="D160" s="50"/>
      <c r="E160" s="51" t="s">
        <v>9</v>
      </c>
      <c r="F160" s="52"/>
      <c r="G160" s="53" t="s">
        <v>270</v>
      </c>
      <c r="H160" s="56"/>
      <c r="I160" s="56" t="s">
        <v>686</v>
      </c>
    </row>
    <row r="161" spans="2:9" ht="22.05" customHeight="1" x14ac:dyDescent="0.3">
      <c r="B161" s="48" t="s">
        <v>271</v>
      </c>
      <c r="C161" s="49" t="s">
        <v>13</v>
      </c>
      <c r="D161" s="50"/>
      <c r="E161" s="51" t="s">
        <v>9</v>
      </c>
      <c r="F161" s="52"/>
      <c r="G161" s="53" t="s">
        <v>272</v>
      </c>
      <c r="H161" s="56"/>
      <c r="I161" s="56" t="s">
        <v>686</v>
      </c>
    </row>
    <row r="162" spans="2:9" ht="22.05" customHeight="1" x14ac:dyDescent="0.3">
      <c r="B162" s="48" t="s">
        <v>273</v>
      </c>
      <c r="C162" s="49" t="s">
        <v>13</v>
      </c>
      <c r="D162" s="50"/>
      <c r="E162" s="51" t="s">
        <v>9</v>
      </c>
      <c r="F162" s="52"/>
      <c r="G162" s="53" t="s">
        <v>274</v>
      </c>
      <c r="H162" s="56"/>
      <c r="I162" s="56" t="s">
        <v>686</v>
      </c>
    </row>
    <row r="163" spans="2:9" ht="22.05" customHeight="1" x14ac:dyDescent="0.3">
      <c r="B163" s="48" t="s">
        <v>275</v>
      </c>
      <c r="C163" s="49" t="s">
        <v>13</v>
      </c>
      <c r="D163" s="50"/>
      <c r="E163" s="51" t="s">
        <v>9</v>
      </c>
      <c r="F163" s="52"/>
      <c r="G163" s="53" t="s">
        <v>276</v>
      </c>
      <c r="H163" s="56"/>
      <c r="I163" s="56" t="s">
        <v>686</v>
      </c>
    </row>
    <row r="164" spans="2:9" ht="6" customHeight="1" x14ac:dyDescent="0.3"/>
    <row r="165" spans="2:9" ht="25.95" customHeight="1" x14ac:dyDescent="0.3">
      <c r="B165" s="45" t="s">
        <v>277</v>
      </c>
      <c r="C165" s="44"/>
      <c r="D165" s="44"/>
      <c r="E165" s="46" t="s">
        <v>9</v>
      </c>
      <c r="F165" s="47" t="s">
        <v>10</v>
      </c>
      <c r="G165" s="44"/>
      <c r="H165" s="55" t="s">
        <v>278</v>
      </c>
      <c r="I165" s="55" t="s">
        <v>686</v>
      </c>
    </row>
    <row r="166" spans="2:9" ht="22.05" customHeight="1" x14ac:dyDescent="0.3">
      <c r="B166" s="48" t="s">
        <v>279</v>
      </c>
      <c r="C166" s="49" t="s">
        <v>13</v>
      </c>
      <c r="D166" s="50"/>
      <c r="E166" s="51" t="s">
        <v>9</v>
      </c>
      <c r="F166" s="52" t="s">
        <v>10</v>
      </c>
      <c r="G166" s="53" t="s">
        <v>280</v>
      </c>
      <c r="H166" s="56"/>
      <c r="I166" s="56" t="s">
        <v>686</v>
      </c>
    </row>
    <row r="167" spans="2:9" ht="22.05" customHeight="1" x14ac:dyDescent="0.3">
      <c r="B167" s="48" t="s">
        <v>281</v>
      </c>
      <c r="C167" s="49" t="s">
        <v>13</v>
      </c>
      <c r="D167" s="50"/>
      <c r="E167" s="51" t="s">
        <v>9</v>
      </c>
      <c r="F167" s="52" t="s">
        <v>10</v>
      </c>
      <c r="G167" s="53" t="s">
        <v>282</v>
      </c>
      <c r="H167" s="56"/>
      <c r="I167" s="56" t="s">
        <v>686</v>
      </c>
    </row>
    <row r="168" spans="2:9" ht="22.05" customHeight="1" x14ac:dyDescent="0.3">
      <c r="B168" s="48" t="s">
        <v>283</v>
      </c>
      <c r="C168" s="49" t="s">
        <v>13</v>
      </c>
      <c r="D168" s="54" t="s">
        <v>13</v>
      </c>
      <c r="E168" s="51" t="s">
        <v>9</v>
      </c>
      <c r="F168" s="52" t="s">
        <v>10</v>
      </c>
      <c r="G168" s="53" t="s">
        <v>284</v>
      </c>
      <c r="H168" s="56"/>
      <c r="I168" s="56" t="s">
        <v>686</v>
      </c>
    </row>
    <row r="169" spans="2:9" ht="22.05" customHeight="1" x14ac:dyDescent="0.3">
      <c r="B169" s="48" t="s">
        <v>285</v>
      </c>
      <c r="C169" s="49" t="s">
        <v>13</v>
      </c>
      <c r="D169" s="50"/>
      <c r="E169" s="51" t="s">
        <v>9</v>
      </c>
      <c r="F169" s="52" t="s">
        <v>10</v>
      </c>
      <c r="G169" s="53" t="s">
        <v>286</v>
      </c>
      <c r="H169" s="56"/>
      <c r="I169" s="56" t="s">
        <v>686</v>
      </c>
    </row>
    <row r="170" spans="2:9" ht="6" customHeight="1" x14ac:dyDescent="0.3"/>
    <row r="171" spans="2:9" ht="25.95" customHeight="1" x14ac:dyDescent="0.3">
      <c r="B171" s="45" t="s">
        <v>287</v>
      </c>
      <c r="C171" s="44"/>
      <c r="D171" s="44"/>
      <c r="E171" s="46" t="s">
        <v>9</v>
      </c>
      <c r="F171" s="47" t="s">
        <v>132</v>
      </c>
      <c r="G171" s="44"/>
      <c r="H171" s="55" t="s">
        <v>288</v>
      </c>
      <c r="I171" s="55" t="s">
        <v>686</v>
      </c>
    </row>
    <row r="172" spans="2:9" ht="22.05" customHeight="1" x14ac:dyDescent="0.3">
      <c r="B172" s="48" t="s">
        <v>289</v>
      </c>
      <c r="C172" s="49" t="s">
        <v>13</v>
      </c>
      <c r="D172" s="50"/>
      <c r="E172" s="51" t="s">
        <v>9</v>
      </c>
      <c r="F172" s="52" t="s">
        <v>132</v>
      </c>
      <c r="G172" s="53" t="s">
        <v>290</v>
      </c>
      <c r="H172" s="56"/>
      <c r="I172" s="56" t="s">
        <v>686</v>
      </c>
    </row>
    <row r="173" spans="2:9" ht="22.05" customHeight="1" x14ac:dyDescent="0.3">
      <c r="B173" s="48" t="s">
        <v>291</v>
      </c>
      <c r="C173" s="49" t="s">
        <v>13</v>
      </c>
      <c r="D173" s="50"/>
      <c r="E173" s="51" t="s">
        <v>9</v>
      </c>
      <c r="F173" s="52" t="s">
        <v>132</v>
      </c>
      <c r="G173" s="53" t="s">
        <v>292</v>
      </c>
      <c r="H173" s="56"/>
      <c r="I173" s="56" t="s">
        <v>686</v>
      </c>
    </row>
    <row r="174" spans="2:9" ht="22.05" customHeight="1" x14ac:dyDescent="0.3">
      <c r="B174" s="48" t="s">
        <v>293</v>
      </c>
      <c r="C174" s="49" t="s">
        <v>13</v>
      </c>
      <c r="D174" s="50"/>
      <c r="E174" s="51" t="s">
        <v>9</v>
      </c>
      <c r="F174" s="52" t="s">
        <v>132</v>
      </c>
      <c r="G174" s="53" t="s">
        <v>294</v>
      </c>
      <c r="H174" s="56"/>
      <c r="I174" s="56" t="s">
        <v>686</v>
      </c>
    </row>
    <row r="175" spans="2:9" ht="22.05" customHeight="1" x14ac:dyDescent="0.3">
      <c r="B175" s="48" t="s">
        <v>295</v>
      </c>
      <c r="C175" s="49" t="s">
        <v>13</v>
      </c>
      <c r="D175" s="50"/>
      <c r="E175" s="51" t="s">
        <v>9</v>
      </c>
      <c r="F175" s="52" t="s">
        <v>132</v>
      </c>
      <c r="G175" s="53" t="s">
        <v>296</v>
      </c>
      <c r="H175" s="56"/>
      <c r="I175" s="56" t="s">
        <v>686</v>
      </c>
    </row>
    <row r="176" spans="2:9" ht="22.05" customHeight="1" x14ac:dyDescent="0.3">
      <c r="B176" s="48" t="s">
        <v>297</v>
      </c>
      <c r="C176" s="49" t="s">
        <v>13</v>
      </c>
      <c r="D176" s="54" t="s">
        <v>13</v>
      </c>
      <c r="E176" s="51" t="s">
        <v>9</v>
      </c>
      <c r="F176" s="52" t="s">
        <v>132</v>
      </c>
      <c r="G176" s="53" t="s">
        <v>298</v>
      </c>
      <c r="H176" s="56"/>
      <c r="I176" s="56" t="s">
        <v>686</v>
      </c>
    </row>
    <row r="177" spans="2:9" ht="22.05" customHeight="1" x14ac:dyDescent="0.3">
      <c r="B177" s="48" t="s">
        <v>299</v>
      </c>
      <c r="C177" s="49" t="s">
        <v>13</v>
      </c>
      <c r="D177" s="50"/>
      <c r="E177" s="51" t="s">
        <v>9</v>
      </c>
      <c r="F177" s="52" t="s">
        <v>132</v>
      </c>
      <c r="G177" s="53" t="s">
        <v>300</v>
      </c>
      <c r="H177" s="56"/>
      <c r="I177" s="56" t="s">
        <v>686</v>
      </c>
    </row>
    <row r="178" spans="2:9" ht="22.05" customHeight="1" x14ac:dyDescent="0.3">
      <c r="B178" s="48" t="s">
        <v>301</v>
      </c>
      <c r="C178" s="49" t="s">
        <v>13</v>
      </c>
      <c r="D178" s="50"/>
      <c r="E178" s="51" t="s">
        <v>9</v>
      </c>
      <c r="F178" s="52" t="s">
        <v>132</v>
      </c>
      <c r="G178" s="53" t="s">
        <v>302</v>
      </c>
      <c r="H178" s="56"/>
      <c r="I178" s="56" t="s">
        <v>686</v>
      </c>
    </row>
    <row r="179" spans="2:9" ht="22.05" customHeight="1" x14ac:dyDescent="0.3">
      <c r="B179" s="48" t="s">
        <v>303</v>
      </c>
      <c r="C179" s="49" t="s">
        <v>13</v>
      </c>
      <c r="D179" s="50"/>
      <c r="E179" s="51" t="s">
        <v>9</v>
      </c>
      <c r="F179" s="52" t="s">
        <v>132</v>
      </c>
      <c r="G179" s="53" t="s">
        <v>304</v>
      </c>
      <c r="H179" s="56"/>
      <c r="I179" s="56" t="s">
        <v>686</v>
      </c>
    </row>
    <row r="180" spans="2:9" ht="6" customHeight="1" x14ac:dyDescent="0.3"/>
    <row r="181" spans="2:9" ht="25.95" customHeight="1" x14ac:dyDescent="0.3">
      <c r="B181" s="45" t="s">
        <v>305</v>
      </c>
      <c r="C181" s="44"/>
      <c r="D181" s="44"/>
      <c r="E181" s="46" t="s">
        <v>9</v>
      </c>
      <c r="F181" s="47" t="s">
        <v>10</v>
      </c>
      <c r="G181" s="44"/>
      <c r="H181" s="55" t="s">
        <v>306</v>
      </c>
      <c r="I181" s="55" t="s">
        <v>686</v>
      </c>
    </row>
    <row r="182" spans="2:9" ht="22.05" customHeight="1" x14ac:dyDescent="0.3">
      <c r="B182" s="48" t="s">
        <v>307</v>
      </c>
      <c r="C182" s="49" t="s">
        <v>13</v>
      </c>
      <c r="D182" s="50"/>
      <c r="E182" s="51" t="s">
        <v>9</v>
      </c>
      <c r="F182" s="52" t="s">
        <v>10</v>
      </c>
      <c r="G182" s="53" t="s">
        <v>308</v>
      </c>
      <c r="H182" s="56"/>
      <c r="I182" s="56" t="s">
        <v>686</v>
      </c>
    </row>
    <row r="183" spans="2:9" ht="22.05" customHeight="1" x14ac:dyDescent="0.3">
      <c r="B183" s="48" t="s">
        <v>309</v>
      </c>
      <c r="C183" s="49" t="s">
        <v>13</v>
      </c>
      <c r="D183" s="50"/>
      <c r="E183" s="51" t="s">
        <v>9</v>
      </c>
      <c r="F183" s="52" t="s">
        <v>10</v>
      </c>
      <c r="G183" s="53" t="s">
        <v>310</v>
      </c>
      <c r="H183" s="56"/>
      <c r="I183" s="56" t="s">
        <v>686</v>
      </c>
    </row>
    <row r="184" spans="2:9" ht="22.05" customHeight="1" x14ac:dyDescent="0.3">
      <c r="B184" s="48" t="s">
        <v>311</v>
      </c>
      <c r="C184" s="49" t="s">
        <v>13</v>
      </c>
      <c r="D184" s="50"/>
      <c r="E184" s="51" t="s">
        <v>9</v>
      </c>
      <c r="F184" s="52" t="s">
        <v>10</v>
      </c>
      <c r="G184" s="53" t="s">
        <v>312</v>
      </c>
      <c r="H184" s="56"/>
      <c r="I184" s="56" t="s">
        <v>686</v>
      </c>
    </row>
    <row r="185" spans="2:9" ht="22.05" customHeight="1" x14ac:dyDescent="0.3">
      <c r="B185" s="48" t="s">
        <v>313</v>
      </c>
      <c r="C185" s="49" t="s">
        <v>13</v>
      </c>
      <c r="D185" s="50"/>
      <c r="E185" s="51" t="s">
        <v>9</v>
      </c>
      <c r="F185" s="52" t="s">
        <v>10</v>
      </c>
      <c r="G185" s="53" t="s">
        <v>314</v>
      </c>
      <c r="H185" s="56"/>
      <c r="I185" s="56" t="s">
        <v>686</v>
      </c>
    </row>
    <row r="186" spans="2:9" ht="6" customHeight="1" x14ac:dyDescent="0.3"/>
    <row r="187" spans="2:9" ht="25.95" customHeight="1" x14ac:dyDescent="0.3">
      <c r="B187" s="45" t="s">
        <v>315</v>
      </c>
      <c r="C187" s="44"/>
      <c r="D187" s="44"/>
      <c r="E187" s="46" t="s">
        <v>9</v>
      </c>
      <c r="F187" s="47" t="s">
        <v>132</v>
      </c>
      <c r="G187" s="44"/>
      <c r="H187" s="55" t="s">
        <v>316</v>
      </c>
      <c r="I187" s="55" t="s">
        <v>686</v>
      </c>
    </row>
    <row r="188" spans="2:9" ht="22.05" customHeight="1" x14ac:dyDescent="0.3">
      <c r="B188" s="48" t="s">
        <v>317</v>
      </c>
      <c r="C188" s="49" t="s">
        <v>13</v>
      </c>
      <c r="D188" s="50"/>
      <c r="E188" s="51" t="s">
        <v>9</v>
      </c>
      <c r="F188" s="52" t="s">
        <v>132</v>
      </c>
      <c r="G188" s="53" t="s">
        <v>318</v>
      </c>
      <c r="H188" s="56"/>
      <c r="I188" s="56" t="s">
        <v>686</v>
      </c>
    </row>
    <row r="189" spans="2:9" ht="22.05" customHeight="1" x14ac:dyDescent="0.3">
      <c r="B189" s="48" t="s">
        <v>319</v>
      </c>
      <c r="C189" s="49" t="s">
        <v>13</v>
      </c>
      <c r="D189" s="50"/>
      <c r="E189" s="51" t="s">
        <v>9</v>
      </c>
      <c r="F189" s="52" t="s">
        <v>132</v>
      </c>
      <c r="G189" s="53" t="s">
        <v>320</v>
      </c>
      <c r="H189" s="56"/>
      <c r="I189" s="56" t="s">
        <v>686</v>
      </c>
    </row>
    <row r="190" spans="2:9" ht="22.05" customHeight="1" x14ac:dyDescent="0.3">
      <c r="B190" s="48" t="s">
        <v>321</v>
      </c>
      <c r="C190" s="49" t="s">
        <v>13</v>
      </c>
      <c r="D190" s="50"/>
      <c r="E190" s="51" t="s">
        <v>9</v>
      </c>
      <c r="F190" s="52" t="s">
        <v>132</v>
      </c>
      <c r="G190" s="53" t="s">
        <v>322</v>
      </c>
      <c r="H190" s="56"/>
      <c r="I190" s="56" t="s">
        <v>686</v>
      </c>
    </row>
    <row r="191" spans="2:9" ht="22.05" customHeight="1" x14ac:dyDescent="0.3">
      <c r="B191" s="48" t="s">
        <v>323</v>
      </c>
      <c r="C191" s="49" t="s">
        <v>13</v>
      </c>
      <c r="D191" s="50"/>
      <c r="E191" s="51" t="s">
        <v>9</v>
      </c>
      <c r="F191" s="52" t="s">
        <v>132</v>
      </c>
      <c r="G191" s="53" t="s">
        <v>324</v>
      </c>
      <c r="H191" s="56"/>
      <c r="I191" s="56" t="s">
        <v>686</v>
      </c>
    </row>
    <row r="192" spans="2:9" ht="22.05" customHeight="1" x14ac:dyDescent="0.3">
      <c r="B192" s="48" t="s">
        <v>325</v>
      </c>
      <c r="C192" s="49" t="s">
        <v>13</v>
      </c>
      <c r="D192" s="50"/>
      <c r="E192" s="51" t="s">
        <v>9</v>
      </c>
      <c r="F192" s="52" t="s">
        <v>132</v>
      </c>
      <c r="G192" s="53" t="s">
        <v>326</v>
      </c>
      <c r="H192" s="56"/>
      <c r="I192" s="56" t="s">
        <v>686</v>
      </c>
    </row>
    <row r="193" spans="2:9" ht="6" customHeight="1" x14ac:dyDescent="0.3"/>
    <row r="194" spans="2:9" ht="25.95" customHeight="1" x14ac:dyDescent="0.3">
      <c r="B194" s="45" t="s">
        <v>327</v>
      </c>
      <c r="C194" s="44"/>
      <c r="D194" s="44"/>
      <c r="E194" s="46" t="s">
        <v>9</v>
      </c>
      <c r="F194" s="47"/>
      <c r="G194" s="44"/>
      <c r="H194" s="55" t="s">
        <v>328</v>
      </c>
      <c r="I194" s="55" t="s">
        <v>686</v>
      </c>
    </row>
    <row r="195" spans="2:9" ht="22.05" customHeight="1" x14ac:dyDescent="0.3">
      <c r="B195" s="48" t="s">
        <v>329</v>
      </c>
      <c r="C195" s="49" t="s">
        <v>13</v>
      </c>
      <c r="D195" s="50"/>
      <c r="E195" s="51" t="s">
        <v>9</v>
      </c>
      <c r="F195" s="52"/>
      <c r="G195" s="53" t="s">
        <v>330</v>
      </c>
      <c r="H195" s="56"/>
      <c r="I195" s="56" t="s">
        <v>686</v>
      </c>
    </row>
    <row r="196" spans="2:9" ht="22.05" customHeight="1" x14ac:dyDescent="0.3">
      <c r="B196" s="48" t="s">
        <v>331</v>
      </c>
      <c r="C196" s="49" t="s">
        <v>13</v>
      </c>
      <c r="D196" s="50"/>
      <c r="E196" s="51" t="s">
        <v>9</v>
      </c>
      <c r="F196" s="52"/>
      <c r="G196" s="53" t="s">
        <v>332</v>
      </c>
      <c r="H196" s="56"/>
      <c r="I196" s="56" t="s">
        <v>686</v>
      </c>
    </row>
    <row r="197" spans="2:9" ht="6" customHeight="1" x14ac:dyDescent="0.3"/>
    <row r="198" spans="2:9" ht="25.95" customHeight="1" x14ac:dyDescent="0.3">
      <c r="B198" s="45" t="s">
        <v>333</v>
      </c>
      <c r="C198" s="44"/>
      <c r="D198" s="44"/>
      <c r="E198" s="46" t="s">
        <v>9</v>
      </c>
      <c r="F198" s="47"/>
      <c r="G198" s="44"/>
      <c r="H198" s="55" t="s">
        <v>334</v>
      </c>
      <c r="I198" s="55" t="s">
        <v>686</v>
      </c>
    </row>
    <row r="199" spans="2:9" ht="22.05" customHeight="1" x14ac:dyDescent="0.3">
      <c r="B199" s="48" t="s">
        <v>335</v>
      </c>
      <c r="C199" s="49" t="s">
        <v>13</v>
      </c>
      <c r="D199" s="50"/>
      <c r="E199" s="51" t="s">
        <v>9</v>
      </c>
      <c r="F199" s="52"/>
      <c r="G199" s="53" t="s">
        <v>336</v>
      </c>
      <c r="H199" s="56"/>
      <c r="I199" s="56" t="s">
        <v>686</v>
      </c>
    </row>
    <row r="200" spans="2:9" ht="22.05" customHeight="1" x14ac:dyDescent="0.3">
      <c r="B200" s="48" t="s">
        <v>337</v>
      </c>
      <c r="C200" s="49" t="s">
        <v>13</v>
      </c>
      <c r="D200" s="50"/>
      <c r="E200" s="51" t="s">
        <v>9</v>
      </c>
      <c r="F200" s="52"/>
      <c r="G200" s="53" t="s">
        <v>338</v>
      </c>
      <c r="H200" s="56"/>
      <c r="I200" s="56" t="s">
        <v>686</v>
      </c>
    </row>
    <row r="201" spans="2:9" ht="22.05" customHeight="1" x14ac:dyDescent="0.3">
      <c r="B201" s="48" t="s">
        <v>339</v>
      </c>
      <c r="C201" s="49" t="s">
        <v>13</v>
      </c>
      <c r="D201" s="50"/>
      <c r="E201" s="51" t="s">
        <v>9</v>
      </c>
      <c r="F201" s="52"/>
      <c r="G201" s="53" t="s">
        <v>340</v>
      </c>
      <c r="H201" s="56"/>
      <c r="I201" s="56" t="s">
        <v>686</v>
      </c>
    </row>
    <row r="202" spans="2:9" ht="6" customHeight="1" x14ac:dyDescent="0.3"/>
    <row r="203" spans="2:9" ht="25.95" customHeight="1" x14ac:dyDescent="0.3">
      <c r="B203" s="45" t="s">
        <v>341</v>
      </c>
      <c r="C203" s="44"/>
      <c r="D203" s="44"/>
      <c r="E203" s="46" t="s">
        <v>9</v>
      </c>
      <c r="F203" s="47" t="s">
        <v>10</v>
      </c>
      <c r="G203" s="44"/>
      <c r="H203" s="55" t="s">
        <v>342</v>
      </c>
      <c r="I203" s="55" t="s">
        <v>686</v>
      </c>
    </row>
    <row r="204" spans="2:9" ht="22.05" customHeight="1" x14ac:dyDescent="0.3">
      <c r="B204" s="48" t="s">
        <v>343</v>
      </c>
      <c r="C204" s="49" t="s">
        <v>13</v>
      </c>
      <c r="D204" s="50"/>
      <c r="E204" s="51" t="s">
        <v>9</v>
      </c>
      <c r="F204" s="52" t="s">
        <v>10</v>
      </c>
      <c r="G204" s="53" t="s">
        <v>344</v>
      </c>
      <c r="H204" s="56"/>
      <c r="I204" s="56" t="s">
        <v>686</v>
      </c>
    </row>
    <row r="205" spans="2:9" ht="22.05" customHeight="1" x14ac:dyDescent="0.3">
      <c r="B205" s="48" t="s">
        <v>345</v>
      </c>
      <c r="C205" s="49" t="s">
        <v>13</v>
      </c>
      <c r="D205" s="50"/>
      <c r="E205" s="51" t="s">
        <v>9</v>
      </c>
      <c r="F205" s="52" t="s">
        <v>10</v>
      </c>
      <c r="G205" s="53" t="s">
        <v>346</v>
      </c>
      <c r="H205" s="56"/>
      <c r="I205" s="56" t="s">
        <v>686</v>
      </c>
    </row>
    <row r="206" spans="2:9" ht="22.05" customHeight="1" x14ac:dyDescent="0.3">
      <c r="B206" s="48" t="s">
        <v>347</v>
      </c>
      <c r="C206" s="49" t="s">
        <v>13</v>
      </c>
      <c r="D206" s="50"/>
      <c r="E206" s="51" t="s">
        <v>9</v>
      </c>
      <c r="F206" s="52" t="s">
        <v>10</v>
      </c>
      <c r="G206" s="53" t="s">
        <v>348</v>
      </c>
      <c r="H206" s="56"/>
      <c r="I206" s="56" t="s">
        <v>686</v>
      </c>
    </row>
    <row r="207" spans="2:9" ht="22.05" customHeight="1" x14ac:dyDescent="0.3">
      <c r="B207" s="48" t="s">
        <v>349</v>
      </c>
      <c r="C207" s="49" t="s">
        <v>13</v>
      </c>
      <c r="D207" s="50"/>
      <c r="E207" s="51" t="s">
        <v>9</v>
      </c>
      <c r="F207" s="52" t="s">
        <v>10</v>
      </c>
      <c r="G207" s="53" t="s">
        <v>350</v>
      </c>
      <c r="H207" s="56"/>
      <c r="I207" s="56" t="s">
        <v>686</v>
      </c>
    </row>
    <row r="208" spans="2:9" ht="22.05" customHeight="1" x14ac:dyDescent="0.3">
      <c r="B208" s="48" t="s">
        <v>351</v>
      </c>
      <c r="C208" s="49" t="s">
        <v>13</v>
      </c>
      <c r="D208" s="50"/>
      <c r="E208" s="51" t="s">
        <v>9</v>
      </c>
      <c r="F208" s="52" t="s">
        <v>10</v>
      </c>
      <c r="G208" s="53" t="s">
        <v>352</v>
      </c>
      <c r="H208" s="56"/>
      <c r="I208" s="56" t="s">
        <v>686</v>
      </c>
    </row>
    <row r="209" spans="2:9" ht="22.05" customHeight="1" x14ac:dyDescent="0.3">
      <c r="B209" s="48" t="s">
        <v>353</v>
      </c>
      <c r="C209" s="49" t="s">
        <v>13</v>
      </c>
      <c r="D209" s="50"/>
      <c r="E209" s="51" t="s">
        <v>9</v>
      </c>
      <c r="F209" s="52" t="s">
        <v>10</v>
      </c>
      <c r="G209" s="53" t="s">
        <v>354</v>
      </c>
      <c r="H209" s="56"/>
      <c r="I209" s="56" t="s">
        <v>686</v>
      </c>
    </row>
    <row r="210" spans="2:9" ht="22.05" customHeight="1" x14ac:dyDescent="0.3">
      <c r="B210" s="48" t="s">
        <v>355</v>
      </c>
      <c r="C210" s="49" t="s">
        <v>13</v>
      </c>
      <c r="D210" s="50"/>
      <c r="E210" s="51" t="s">
        <v>9</v>
      </c>
      <c r="F210" s="52" t="s">
        <v>10</v>
      </c>
      <c r="G210" s="53" t="s">
        <v>356</v>
      </c>
      <c r="H210" s="56"/>
      <c r="I210" s="56" t="s">
        <v>686</v>
      </c>
    </row>
    <row r="211" spans="2:9" ht="22.05" customHeight="1" x14ac:dyDescent="0.3">
      <c r="B211" s="48" t="s">
        <v>357</v>
      </c>
      <c r="C211" s="49" t="s">
        <v>13</v>
      </c>
      <c r="D211" s="50"/>
      <c r="E211" s="51" t="s">
        <v>9</v>
      </c>
      <c r="F211" s="52" t="s">
        <v>10</v>
      </c>
      <c r="G211" s="53" t="s">
        <v>358</v>
      </c>
      <c r="H211" s="56"/>
      <c r="I211" s="56" t="s">
        <v>686</v>
      </c>
    </row>
    <row r="212" spans="2:9" ht="22.05" customHeight="1" x14ac:dyDescent="0.3">
      <c r="B212" s="48" t="s">
        <v>359</v>
      </c>
      <c r="C212" s="49" t="s">
        <v>13</v>
      </c>
      <c r="D212" s="50"/>
      <c r="E212" s="51" t="s">
        <v>9</v>
      </c>
      <c r="F212" s="52" t="s">
        <v>10</v>
      </c>
      <c r="G212" s="53" t="s">
        <v>360</v>
      </c>
      <c r="H212" s="56"/>
      <c r="I212" s="56" t="s">
        <v>686</v>
      </c>
    </row>
    <row r="213" spans="2:9" ht="22.05" customHeight="1" x14ac:dyDescent="0.3">
      <c r="B213" s="48" t="s">
        <v>361</v>
      </c>
      <c r="C213" s="49" t="s">
        <v>13</v>
      </c>
      <c r="D213" s="50"/>
      <c r="E213" s="51" t="s">
        <v>9</v>
      </c>
      <c r="F213" s="52" t="s">
        <v>10</v>
      </c>
      <c r="G213" s="53" t="s">
        <v>362</v>
      </c>
      <c r="H213" s="56"/>
      <c r="I213" s="56" t="s">
        <v>686</v>
      </c>
    </row>
    <row r="214" spans="2:9" ht="22.05" customHeight="1" x14ac:dyDescent="0.3">
      <c r="B214" s="48" t="s">
        <v>363</v>
      </c>
      <c r="C214" s="49" t="s">
        <v>13</v>
      </c>
      <c r="D214" s="50"/>
      <c r="E214" s="51" t="s">
        <v>9</v>
      </c>
      <c r="F214" s="52" t="s">
        <v>10</v>
      </c>
      <c r="G214" s="53" t="s">
        <v>364</v>
      </c>
      <c r="H214" s="56"/>
      <c r="I214" s="56" t="s">
        <v>686</v>
      </c>
    </row>
    <row r="215" spans="2:9" ht="22.05" customHeight="1" x14ac:dyDescent="0.3">
      <c r="B215" s="48" t="s">
        <v>365</v>
      </c>
      <c r="C215" s="49" t="s">
        <v>13</v>
      </c>
      <c r="D215" s="50"/>
      <c r="E215" s="51" t="s">
        <v>9</v>
      </c>
      <c r="F215" s="52" t="s">
        <v>10</v>
      </c>
      <c r="G215" s="53" t="s">
        <v>366</v>
      </c>
      <c r="H215" s="56"/>
      <c r="I215" s="56" t="s">
        <v>686</v>
      </c>
    </row>
    <row r="216" spans="2:9" ht="22.05" customHeight="1" x14ac:dyDescent="0.3">
      <c r="B216" s="48" t="s">
        <v>138</v>
      </c>
      <c r="C216" s="49" t="s">
        <v>13</v>
      </c>
      <c r="D216" s="50"/>
      <c r="E216" s="51" t="s">
        <v>9</v>
      </c>
      <c r="F216" s="52" t="s">
        <v>10</v>
      </c>
      <c r="G216" s="53" t="s">
        <v>367</v>
      </c>
      <c r="H216" s="56"/>
      <c r="I216" s="56" t="s">
        <v>686</v>
      </c>
    </row>
    <row r="217" spans="2:9" ht="22.05" customHeight="1" x14ac:dyDescent="0.3">
      <c r="B217" s="48" t="s">
        <v>368</v>
      </c>
      <c r="C217" s="49" t="s">
        <v>13</v>
      </c>
      <c r="D217" s="50"/>
      <c r="E217" s="51" t="s">
        <v>9</v>
      </c>
      <c r="F217" s="52" t="s">
        <v>10</v>
      </c>
      <c r="G217" s="53" t="s">
        <v>369</v>
      </c>
      <c r="H217" s="56"/>
      <c r="I217" s="56" t="s">
        <v>686</v>
      </c>
    </row>
    <row r="218" spans="2:9" ht="22.05" customHeight="1" x14ac:dyDescent="0.3">
      <c r="B218" s="48" t="s">
        <v>370</v>
      </c>
      <c r="C218" s="49" t="s">
        <v>13</v>
      </c>
      <c r="D218" s="50"/>
      <c r="E218" s="51" t="s">
        <v>9</v>
      </c>
      <c r="F218" s="52" t="s">
        <v>10</v>
      </c>
      <c r="G218" s="53" t="s">
        <v>371</v>
      </c>
      <c r="H218" s="56"/>
      <c r="I218" s="56" t="s">
        <v>686</v>
      </c>
    </row>
    <row r="219" spans="2:9" ht="22.05" customHeight="1" x14ac:dyDescent="0.3">
      <c r="B219" s="48" t="s">
        <v>372</v>
      </c>
      <c r="C219" s="49" t="s">
        <v>13</v>
      </c>
      <c r="D219" s="50"/>
      <c r="E219" s="51" t="s">
        <v>9</v>
      </c>
      <c r="F219" s="52" t="s">
        <v>10</v>
      </c>
      <c r="G219" s="53" t="s">
        <v>373</v>
      </c>
      <c r="H219" s="56"/>
      <c r="I219" s="56" t="s">
        <v>686</v>
      </c>
    </row>
    <row r="220" spans="2:9" ht="22.05" customHeight="1" x14ac:dyDescent="0.3">
      <c r="B220" s="48" t="s">
        <v>374</v>
      </c>
      <c r="C220" s="49" t="s">
        <v>13</v>
      </c>
      <c r="D220" s="50"/>
      <c r="E220" s="51" t="s">
        <v>9</v>
      </c>
      <c r="F220" s="52" t="s">
        <v>10</v>
      </c>
      <c r="G220" s="53" t="s">
        <v>375</v>
      </c>
      <c r="H220" s="56"/>
      <c r="I220" s="56" t="s">
        <v>686</v>
      </c>
    </row>
    <row r="221" spans="2:9" ht="22.05" customHeight="1" x14ac:dyDescent="0.3">
      <c r="B221" s="48" t="s">
        <v>376</v>
      </c>
      <c r="C221" s="49" t="s">
        <v>13</v>
      </c>
      <c r="D221" s="50"/>
      <c r="E221" s="51" t="s">
        <v>9</v>
      </c>
      <c r="F221" s="52" t="s">
        <v>10</v>
      </c>
      <c r="G221" s="53" t="s">
        <v>377</v>
      </c>
      <c r="H221" s="56"/>
      <c r="I221" s="56" t="s">
        <v>686</v>
      </c>
    </row>
    <row r="222" spans="2:9" ht="22.05" customHeight="1" x14ac:dyDescent="0.3">
      <c r="B222" s="48" t="s">
        <v>110</v>
      </c>
      <c r="C222" s="49" t="s">
        <v>13</v>
      </c>
      <c r="D222" s="50"/>
      <c r="E222" s="51" t="s">
        <v>9</v>
      </c>
      <c r="F222" s="52" t="s">
        <v>10</v>
      </c>
      <c r="G222" s="53" t="s">
        <v>111</v>
      </c>
      <c r="H222" s="56"/>
      <c r="I222" s="56" t="s">
        <v>686</v>
      </c>
    </row>
    <row r="223" spans="2:9" ht="22.05" customHeight="1" x14ac:dyDescent="0.3">
      <c r="B223" s="48" t="s">
        <v>378</v>
      </c>
      <c r="C223" s="49" t="s">
        <v>13</v>
      </c>
      <c r="D223" s="50"/>
      <c r="E223" s="51" t="s">
        <v>9</v>
      </c>
      <c r="F223" s="52" t="s">
        <v>10</v>
      </c>
      <c r="G223" s="53" t="s">
        <v>379</v>
      </c>
      <c r="H223" s="56"/>
      <c r="I223" s="56" t="s">
        <v>686</v>
      </c>
    </row>
    <row r="224" spans="2:9" s="64" customFormat="1" ht="22.05" customHeight="1" x14ac:dyDescent="0.3">
      <c r="B224" s="48" t="s">
        <v>721</v>
      </c>
      <c r="C224" s="66" t="s">
        <v>13</v>
      </c>
      <c r="D224" s="50"/>
      <c r="E224" s="51" t="str">
        <f>E203</f>
        <v>SVT + Physique-Chimie ou SVT + Maths</v>
      </c>
      <c r="F224" s="52" t="str">
        <f>F203</f>
        <v>Maths compl. (option Tle) si Maths non conservée</v>
      </c>
      <c r="G224" s="53" t="s">
        <v>722</v>
      </c>
      <c r="H224" s="56"/>
      <c r="I224" s="56" t="str">
        <f>I203</f>
        <v>SVT+PC | SVT+Maths</v>
      </c>
    </row>
    <row r="225" spans="2:9" ht="6" customHeight="1" x14ac:dyDescent="0.3"/>
    <row r="226" spans="2:9" ht="25.95" customHeight="1" x14ac:dyDescent="0.3">
      <c r="B226" s="45" t="s">
        <v>380</v>
      </c>
      <c r="C226" s="44"/>
      <c r="D226" s="44"/>
      <c r="E226" s="46" t="s">
        <v>9</v>
      </c>
      <c r="F226" s="47" t="s">
        <v>10</v>
      </c>
      <c r="G226" s="44"/>
      <c r="H226" s="55" t="s">
        <v>381</v>
      </c>
      <c r="I226" s="55" t="s">
        <v>686</v>
      </c>
    </row>
    <row r="227" spans="2:9" ht="22.05" customHeight="1" x14ac:dyDescent="0.3">
      <c r="B227" s="48" t="s">
        <v>382</v>
      </c>
      <c r="C227" s="49" t="s">
        <v>13</v>
      </c>
      <c r="D227" s="50"/>
      <c r="E227" s="51" t="s">
        <v>9</v>
      </c>
      <c r="F227" s="52" t="s">
        <v>10</v>
      </c>
      <c r="G227" s="53" t="s">
        <v>383</v>
      </c>
      <c r="H227" s="56"/>
      <c r="I227" s="56" t="s">
        <v>686</v>
      </c>
    </row>
    <row r="228" spans="2:9" ht="22.05" customHeight="1" x14ac:dyDescent="0.3">
      <c r="B228" s="48" t="s">
        <v>384</v>
      </c>
      <c r="C228" s="49" t="s">
        <v>13</v>
      </c>
      <c r="D228" s="50"/>
      <c r="E228" s="51" t="s">
        <v>9</v>
      </c>
      <c r="F228" s="52" t="s">
        <v>10</v>
      </c>
      <c r="G228" s="53" t="s">
        <v>385</v>
      </c>
      <c r="H228" s="56"/>
      <c r="I228" s="56" t="s">
        <v>686</v>
      </c>
    </row>
    <row r="229" spans="2:9" ht="22.05" customHeight="1" x14ac:dyDescent="0.3">
      <c r="B229" s="48" t="s">
        <v>386</v>
      </c>
      <c r="C229" s="49" t="s">
        <v>13</v>
      </c>
      <c r="D229" s="50"/>
      <c r="E229" s="51" t="s">
        <v>9</v>
      </c>
      <c r="F229" s="52" t="s">
        <v>10</v>
      </c>
      <c r="G229" s="53" t="s">
        <v>387</v>
      </c>
      <c r="H229" s="56"/>
      <c r="I229" s="56" t="s">
        <v>686</v>
      </c>
    </row>
    <row r="230" spans="2:9" ht="22.05" customHeight="1" x14ac:dyDescent="0.3">
      <c r="B230" s="48" t="s">
        <v>388</v>
      </c>
      <c r="C230" s="49" t="s">
        <v>13</v>
      </c>
      <c r="D230" s="50"/>
      <c r="E230" s="51" t="s">
        <v>9</v>
      </c>
      <c r="F230" s="52" t="s">
        <v>10</v>
      </c>
      <c r="G230" s="53" t="s">
        <v>389</v>
      </c>
      <c r="H230" s="56"/>
      <c r="I230" s="56" t="s">
        <v>686</v>
      </c>
    </row>
    <row r="231" spans="2:9" ht="22.05" customHeight="1" x14ac:dyDescent="0.3">
      <c r="B231" s="48" t="s">
        <v>390</v>
      </c>
      <c r="C231" s="49" t="s">
        <v>13</v>
      </c>
      <c r="D231" s="50"/>
      <c r="E231" s="51" t="s">
        <v>9</v>
      </c>
      <c r="F231" s="52" t="s">
        <v>10</v>
      </c>
      <c r="G231" s="53" t="s">
        <v>391</v>
      </c>
      <c r="H231" s="56"/>
      <c r="I231" s="56" t="s">
        <v>686</v>
      </c>
    </row>
    <row r="232" spans="2:9" ht="6" customHeight="1" x14ac:dyDescent="0.3"/>
    <row r="233" spans="2:9" ht="25.95" customHeight="1" x14ac:dyDescent="0.3">
      <c r="B233" s="45" t="s">
        <v>392</v>
      </c>
      <c r="C233" s="44"/>
      <c r="D233" s="44"/>
      <c r="E233" s="46" t="s">
        <v>232</v>
      </c>
      <c r="F233" s="47"/>
      <c r="G233" s="44"/>
      <c r="H233" s="55" t="s">
        <v>393</v>
      </c>
      <c r="I233" s="55" t="s">
        <v>691</v>
      </c>
    </row>
    <row r="234" spans="2:9" ht="22.05" customHeight="1" x14ac:dyDescent="0.3">
      <c r="B234" s="48" t="s">
        <v>394</v>
      </c>
      <c r="C234" s="49" t="s">
        <v>13</v>
      </c>
      <c r="D234" s="50"/>
      <c r="E234" s="51" t="s">
        <v>232</v>
      </c>
      <c r="F234" s="52"/>
      <c r="G234" s="53" t="s">
        <v>395</v>
      </c>
      <c r="H234" s="56"/>
      <c r="I234" s="56" t="s">
        <v>691</v>
      </c>
    </row>
    <row r="235" spans="2:9" ht="22.05" customHeight="1" x14ac:dyDescent="0.3">
      <c r="B235" s="48" t="s">
        <v>396</v>
      </c>
      <c r="C235" s="49" t="s">
        <v>13</v>
      </c>
      <c r="D235" s="50"/>
      <c r="E235" s="51" t="s">
        <v>232</v>
      </c>
      <c r="F235" s="52"/>
      <c r="G235" s="53" t="s">
        <v>397</v>
      </c>
      <c r="H235" s="56"/>
      <c r="I235" s="56" t="s">
        <v>691</v>
      </c>
    </row>
    <row r="236" spans="2:9" ht="22.05" customHeight="1" x14ac:dyDescent="0.3">
      <c r="B236" s="48" t="s">
        <v>398</v>
      </c>
      <c r="C236" s="49" t="s">
        <v>13</v>
      </c>
      <c r="D236" s="50"/>
      <c r="E236" s="51" t="s">
        <v>232</v>
      </c>
      <c r="F236" s="52"/>
      <c r="G236" s="53" t="s">
        <v>399</v>
      </c>
      <c r="H236" s="56"/>
      <c r="I236" s="56" t="s">
        <v>691</v>
      </c>
    </row>
    <row r="237" spans="2:9" ht="22.05" customHeight="1" x14ac:dyDescent="0.3">
      <c r="B237" s="48" t="s">
        <v>400</v>
      </c>
      <c r="C237" s="49" t="s">
        <v>13</v>
      </c>
      <c r="D237" s="50"/>
      <c r="E237" s="51" t="s">
        <v>232</v>
      </c>
      <c r="F237" s="52"/>
      <c r="G237" s="53" t="s">
        <v>401</v>
      </c>
      <c r="H237" s="56"/>
      <c r="I237" s="56" t="s">
        <v>691</v>
      </c>
    </row>
    <row r="238" spans="2:9" ht="22.05" customHeight="1" x14ac:dyDescent="0.3">
      <c r="B238" s="48" t="s">
        <v>402</v>
      </c>
      <c r="C238" s="49" t="s">
        <v>13</v>
      </c>
      <c r="D238" s="50"/>
      <c r="E238" s="51" t="s">
        <v>232</v>
      </c>
      <c r="F238" s="52"/>
      <c r="G238" s="53" t="s">
        <v>403</v>
      </c>
      <c r="H238" s="56"/>
      <c r="I238" s="56" t="s">
        <v>691</v>
      </c>
    </row>
    <row r="239" spans="2:9" ht="6" customHeight="1" x14ac:dyDescent="0.3"/>
    <row r="240" spans="2:9" ht="25.95" customHeight="1" x14ac:dyDescent="0.3">
      <c r="B240" s="45" t="s">
        <v>404</v>
      </c>
      <c r="C240" s="44"/>
      <c r="D240" s="44"/>
      <c r="E240" s="46" t="s">
        <v>9</v>
      </c>
      <c r="F240" s="47"/>
      <c r="G240" s="44"/>
      <c r="H240" s="55" t="s">
        <v>405</v>
      </c>
      <c r="I240" s="55" t="s">
        <v>686</v>
      </c>
    </row>
    <row r="241" spans="2:9" ht="22.05" customHeight="1" x14ac:dyDescent="0.3">
      <c r="B241" s="48" t="s">
        <v>406</v>
      </c>
      <c r="C241" s="49" t="s">
        <v>13</v>
      </c>
      <c r="D241" s="50"/>
      <c r="E241" s="51" t="s">
        <v>9</v>
      </c>
      <c r="F241" s="52"/>
      <c r="G241" s="53" t="s">
        <v>407</v>
      </c>
      <c r="H241" s="56"/>
      <c r="I241" s="56" t="s">
        <v>686</v>
      </c>
    </row>
    <row r="242" spans="2:9" ht="22.05" customHeight="1" x14ac:dyDescent="0.3">
      <c r="B242" s="48" t="s">
        <v>408</v>
      </c>
      <c r="C242" s="49" t="s">
        <v>13</v>
      </c>
      <c r="D242" s="50"/>
      <c r="E242" s="51" t="s">
        <v>9</v>
      </c>
      <c r="F242" s="52"/>
      <c r="G242" s="53" t="s">
        <v>409</v>
      </c>
      <c r="H242" s="56"/>
      <c r="I242" s="56" t="s">
        <v>686</v>
      </c>
    </row>
    <row r="243" spans="2:9" ht="22.05" customHeight="1" x14ac:dyDescent="0.3">
      <c r="B243" s="48" t="s">
        <v>410</v>
      </c>
      <c r="C243" s="49" t="s">
        <v>13</v>
      </c>
      <c r="D243" s="50"/>
      <c r="E243" s="51" t="s">
        <v>9</v>
      </c>
      <c r="F243" s="52"/>
      <c r="G243" s="53" t="s">
        <v>411</v>
      </c>
      <c r="H243" s="56"/>
      <c r="I243" s="56" t="s">
        <v>686</v>
      </c>
    </row>
    <row r="244" spans="2:9" ht="22.05" customHeight="1" x14ac:dyDescent="0.3">
      <c r="B244" s="48" t="s">
        <v>148</v>
      </c>
      <c r="C244" s="49" t="s">
        <v>13</v>
      </c>
      <c r="D244" s="50"/>
      <c r="E244" s="51" t="s">
        <v>9</v>
      </c>
      <c r="F244" s="52"/>
      <c r="G244" s="53" t="s">
        <v>412</v>
      </c>
      <c r="H244" s="56"/>
      <c r="I244" s="56" t="s">
        <v>686</v>
      </c>
    </row>
    <row r="245" spans="2:9" ht="22.05" customHeight="1" x14ac:dyDescent="0.3">
      <c r="B245" s="48" t="s">
        <v>413</v>
      </c>
      <c r="C245" s="49" t="s">
        <v>13</v>
      </c>
      <c r="D245" s="50"/>
      <c r="E245" s="51" t="s">
        <v>9</v>
      </c>
      <c r="F245" s="52"/>
      <c r="G245" s="53" t="s">
        <v>414</v>
      </c>
      <c r="H245" s="56"/>
      <c r="I245" s="56" t="s">
        <v>686</v>
      </c>
    </row>
    <row r="246" spans="2:9" ht="22.05" customHeight="1" x14ac:dyDescent="0.3">
      <c r="B246" s="48" t="s">
        <v>415</v>
      </c>
      <c r="C246" s="49" t="s">
        <v>13</v>
      </c>
      <c r="D246" s="50"/>
      <c r="E246" s="51" t="s">
        <v>9</v>
      </c>
      <c r="F246" s="52"/>
      <c r="G246" s="53" t="s">
        <v>416</v>
      </c>
      <c r="H246" s="56"/>
      <c r="I246" s="56" t="s">
        <v>686</v>
      </c>
    </row>
    <row r="247" spans="2:9" ht="22.05" customHeight="1" x14ac:dyDescent="0.3">
      <c r="B247" s="48" t="s">
        <v>417</v>
      </c>
      <c r="C247" s="49" t="s">
        <v>13</v>
      </c>
      <c r="D247" s="50"/>
      <c r="E247" s="51" t="s">
        <v>9</v>
      </c>
      <c r="F247" s="52"/>
      <c r="G247" s="53" t="s">
        <v>418</v>
      </c>
      <c r="H247" s="56"/>
      <c r="I247" s="56" t="s">
        <v>686</v>
      </c>
    </row>
    <row r="248" spans="2:9" ht="22.05" customHeight="1" x14ac:dyDescent="0.3">
      <c r="B248" s="48" t="s">
        <v>221</v>
      </c>
      <c r="C248" s="49" t="s">
        <v>13</v>
      </c>
      <c r="D248" s="50"/>
      <c r="E248" s="51" t="s">
        <v>9</v>
      </c>
      <c r="F248" s="52"/>
      <c r="G248" s="53" t="s">
        <v>222</v>
      </c>
      <c r="H248" s="56"/>
      <c r="I248" s="56" t="s">
        <v>686</v>
      </c>
    </row>
    <row r="249" spans="2:9" ht="22.05" customHeight="1" x14ac:dyDescent="0.3">
      <c r="B249" s="48" t="s">
        <v>206</v>
      </c>
      <c r="C249" s="49" t="s">
        <v>13</v>
      </c>
      <c r="D249" s="54" t="s">
        <v>13</v>
      </c>
      <c r="E249" s="51" t="s">
        <v>9</v>
      </c>
      <c r="F249" s="52"/>
      <c r="G249" s="53" t="s">
        <v>207</v>
      </c>
      <c r="H249" s="56"/>
      <c r="I249" s="56" t="s">
        <v>686</v>
      </c>
    </row>
    <row r="250" spans="2:9" ht="22.05" customHeight="1" x14ac:dyDescent="0.3">
      <c r="B250" s="48" t="s">
        <v>419</v>
      </c>
      <c r="C250" s="49" t="s">
        <v>13</v>
      </c>
      <c r="D250" s="50"/>
      <c r="E250" s="51" t="s">
        <v>9</v>
      </c>
      <c r="F250" s="52"/>
      <c r="G250" s="53" t="s">
        <v>420</v>
      </c>
      <c r="H250" s="56"/>
      <c r="I250" s="56" t="s">
        <v>686</v>
      </c>
    </row>
    <row r="251" spans="2:9" ht="22.05" customHeight="1" x14ac:dyDescent="0.3">
      <c r="B251" s="48" t="s">
        <v>421</v>
      </c>
      <c r="C251" s="49" t="s">
        <v>13</v>
      </c>
      <c r="D251" s="50"/>
      <c r="E251" s="51" t="s">
        <v>9</v>
      </c>
      <c r="F251" s="52"/>
      <c r="G251" s="53" t="s">
        <v>422</v>
      </c>
      <c r="H251" s="56"/>
      <c r="I251" s="56" t="s">
        <v>686</v>
      </c>
    </row>
    <row r="252" spans="2:9" ht="22.05" customHeight="1" x14ac:dyDescent="0.3">
      <c r="B252" s="48" t="s">
        <v>423</v>
      </c>
      <c r="C252" s="49" t="s">
        <v>13</v>
      </c>
      <c r="D252" s="50"/>
      <c r="E252" s="51" t="s">
        <v>9</v>
      </c>
      <c r="F252" s="52"/>
      <c r="G252" s="53" t="s">
        <v>424</v>
      </c>
      <c r="H252" s="56"/>
      <c r="I252" s="56" t="s">
        <v>686</v>
      </c>
    </row>
    <row r="253" spans="2:9" ht="6" customHeight="1" x14ac:dyDescent="0.3"/>
    <row r="254" spans="2:9" ht="25.95" customHeight="1" x14ac:dyDescent="0.3">
      <c r="B254" s="45" t="s">
        <v>425</v>
      </c>
      <c r="C254" s="44"/>
      <c r="D254" s="44"/>
      <c r="E254" s="46" t="s">
        <v>9</v>
      </c>
      <c r="F254" s="47"/>
      <c r="G254" s="44"/>
      <c r="H254" s="55" t="s">
        <v>426</v>
      </c>
      <c r="I254" s="55" t="s">
        <v>686</v>
      </c>
    </row>
    <row r="255" spans="2:9" ht="22.05" customHeight="1" x14ac:dyDescent="0.3">
      <c r="B255" s="48" t="s">
        <v>427</v>
      </c>
      <c r="C255" s="49" t="s">
        <v>13</v>
      </c>
      <c r="D255" s="50"/>
      <c r="E255" s="51" t="s">
        <v>9</v>
      </c>
      <c r="F255" s="52"/>
      <c r="G255" s="53" t="s">
        <v>428</v>
      </c>
      <c r="H255" s="56"/>
      <c r="I255" s="56" t="s">
        <v>686</v>
      </c>
    </row>
    <row r="256" spans="2:9" ht="22.05" customHeight="1" x14ac:dyDescent="0.3">
      <c r="B256" s="48" t="s">
        <v>429</v>
      </c>
      <c r="C256" s="49" t="s">
        <v>13</v>
      </c>
      <c r="D256" s="50"/>
      <c r="E256" s="51" t="s">
        <v>9</v>
      </c>
      <c r="F256" s="52"/>
      <c r="G256" s="53" t="s">
        <v>430</v>
      </c>
      <c r="H256" s="56"/>
      <c r="I256" s="56" t="s">
        <v>686</v>
      </c>
    </row>
    <row r="257" spans="2:9" ht="22.05" customHeight="1" x14ac:dyDescent="0.3">
      <c r="B257" s="48" t="s">
        <v>431</v>
      </c>
      <c r="C257" s="49" t="s">
        <v>13</v>
      </c>
      <c r="D257" s="50"/>
      <c r="E257" s="51" t="s">
        <v>9</v>
      </c>
      <c r="F257" s="52"/>
      <c r="G257" s="53" t="s">
        <v>432</v>
      </c>
      <c r="H257" s="56"/>
      <c r="I257" s="56" t="s">
        <v>686</v>
      </c>
    </row>
    <row r="258" spans="2:9" ht="6" customHeight="1" x14ac:dyDescent="0.3"/>
    <row r="259" spans="2:9" ht="25.95" customHeight="1" x14ac:dyDescent="0.3">
      <c r="B259" s="45" t="s">
        <v>433</v>
      </c>
      <c r="C259" s="44"/>
      <c r="D259" s="44"/>
      <c r="E259" s="46" t="s">
        <v>9</v>
      </c>
      <c r="F259" s="47"/>
      <c r="G259" s="44"/>
      <c r="H259" s="55" t="s">
        <v>434</v>
      </c>
      <c r="I259" s="55" t="s">
        <v>686</v>
      </c>
    </row>
    <row r="260" spans="2:9" ht="22.05" customHeight="1" x14ac:dyDescent="0.3">
      <c r="B260" s="48" t="s">
        <v>435</v>
      </c>
      <c r="C260" s="49" t="s">
        <v>13</v>
      </c>
      <c r="D260" s="50"/>
      <c r="E260" s="51" t="s">
        <v>9</v>
      </c>
      <c r="F260" s="52"/>
      <c r="G260" s="53" t="s">
        <v>436</v>
      </c>
      <c r="H260" s="56"/>
      <c r="I260" s="56" t="s">
        <v>686</v>
      </c>
    </row>
    <row r="261" spans="2:9" ht="22.05" customHeight="1" x14ac:dyDescent="0.3">
      <c r="B261" s="48" t="s">
        <v>437</v>
      </c>
      <c r="C261" s="49" t="s">
        <v>13</v>
      </c>
      <c r="D261" s="50"/>
      <c r="E261" s="51" t="s">
        <v>9</v>
      </c>
      <c r="F261" s="52"/>
      <c r="G261" s="53" t="s">
        <v>438</v>
      </c>
      <c r="H261" s="56"/>
      <c r="I261" s="56" t="s">
        <v>686</v>
      </c>
    </row>
    <row r="262" spans="2:9" ht="22.05" customHeight="1" x14ac:dyDescent="0.3">
      <c r="B262" s="48" t="s">
        <v>439</v>
      </c>
      <c r="C262" s="49" t="s">
        <v>13</v>
      </c>
      <c r="D262" s="50"/>
      <c r="E262" s="51" t="s">
        <v>9</v>
      </c>
      <c r="F262" s="52"/>
      <c r="G262" s="53" t="s">
        <v>440</v>
      </c>
      <c r="H262" s="56"/>
      <c r="I262" s="56" t="s">
        <v>686</v>
      </c>
    </row>
    <row r="263" spans="2:9" ht="22.05" customHeight="1" x14ac:dyDescent="0.3">
      <c r="B263" s="48" t="s">
        <v>441</v>
      </c>
      <c r="C263" s="49" t="s">
        <v>13</v>
      </c>
      <c r="D263" s="50"/>
      <c r="E263" s="51" t="s">
        <v>9</v>
      </c>
      <c r="F263" s="52"/>
      <c r="G263" s="53" t="s">
        <v>442</v>
      </c>
      <c r="H263" s="56"/>
      <c r="I263" s="56" t="s">
        <v>686</v>
      </c>
    </row>
    <row r="264" spans="2:9" ht="22.05" customHeight="1" x14ac:dyDescent="0.3">
      <c r="B264" s="48" t="s">
        <v>124</v>
      </c>
      <c r="C264" s="49" t="s">
        <v>13</v>
      </c>
      <c r="D264" s="50"/>
      <c r="E264" s="51" t="s">
        <v>9</v>
      </c>
      <c r="F264" s="52"/>
      <c r="G264" s="53" t="s">
        <v>125</v>
      </c>
      <c r="H264" s="56"/>
      <c r="I264" s="56" t="s">
        <v>686</v>
      </c>
    </row>
    <row r="265" spans="2:9" ht="22.05" customHeight="1" x14ac:dyDescent="0.3">
      <c r="B265" s="48" t="s">
        <v>126</v>
      </c>
      <c r="C265" s="49" t="s">
        <v>13</v>
      </c>
      <c r="D265" s="50"/>
      <c r="E265" s="51" t="s">
        <v>9</v>
      </c>
      <c r="F265" s="52"/>
      <c r="G265" s="53" t="s">
        <v>127</v>
      </c>
      <c r="H265" s="56"/>
      <c r="I265" s="56" t="s">
        <v>686</v>
      </c>
    </row>
    <row r="266" spans="2:9" ht="6" customHeight="1" x14ac:dyDescent="0.3"/>
    <row r="267" spans="2:9" ht="25.95" customHeight="1" x14ac:dyDescent="0.3">
      <c r="B267" s="45" t="s">
        <v>443</v>
      </c>
      <c r="C267" s="44"/>
      <c r="D267" s="44"/>
      <c r="E267" s="46" t="s">
        <v>444</v>
      </c>
      <c r="F267" s="47"/>
      <c r="G267" s="44"/>
      <c r="H267" s="55" t="s">
        <v>445</v>
      </c>
      <c r="I267" s="55" t="s">
        <v>694</v>
      </c>
    </row>
    <row r="268" spans="2:9" ht="22.05" customHeight="1" x14ac:dyDescent="0.3">
      <c r="B268" s="48" t="s">
        <v>446</v>
      </c>
      <c r="C268" s="49" t="s">
        <v>13</v>
      </c>
      <c r="D268" s="50"/>
      <c r="E268" s="51" t="s">
        <v>444</v>
      </c>
      <c r="F268" s="52"/>
      <c r="G268" s="53" t="s">
        <v>447</v>
      </c>
      <c r="H268" s="56"/>
      <c r="I268" s="56" t="s">
        <v>694</v>
      </c>
    </row>
    <row r="269" spans="2:9" ht="22.05" customHeight="1" x14ac:dyDescent="0.3">
      <c r="B269" s="48" t="s">
        <v>448</v>
      </c>
      <c r="C269" s="49" t="s">
        <v>13</v>
      </c>
      <c r="D269" s="50"/>
      <c r="E269" s="51" t="s">
        <v>444</v>
      </c>
      <c r="F269" s="52"/>
      <c r="G269" s="53" t="s">
        <v>449</v>
      </c>
      <c r="H269" s="56"/>
      <c r="I269" s="56" t="s">
        <v>694</v>
      </c>
    </row>
    <row r="270" spans="2:9" ht="22.05" customHeight="1" x14ac:dyDescent="0.3">
      <c r="B270" s="48" t="s">
        <v>450</v>
      </c>
      <c r="C270" s="49" t="s">
        <v>13</v>
      </c>
      <c r="D270" s="50"/>
      <c r="E270" s="51" t="s">
        <v>444</v>
      </c>
      <c r="F270" s="52"/>
      <c r="G270" s="53" t="s">
        <v>451</v>
      </c>
      <c r="H270" s="56"/>
      <c r="I270" s="56" t="s">
        <v>694</v>
      </c>
    </row>
    <row r="271" spans="2:9" ht="22.05" customHeight="1" x14ac:dyDescent="0.3">
      <c r="B271" s="48" t="s">
        <v>339</v>
      </c>
      <c r="C271" s="49" t="s">
        <v>13</v>
      </c>
      <c r="D271" s="50"/>
      <c r="E271" s="51" t="s">
        <v>444</v>
      </c>
      <c r="F271" s="52"/>
      <c r="G271" s="53" t="s">
        <v>340</v>
      </c>
      <c r="H271" s="56"/>
      <c r="I271" s="56" t="s">
        <v>694</v>
      </c>
    </row>
    <row r="272" spans="2:9" ht="22.05" customHeight="1" x14ac:dyDescent="0.3">
      <c r="B272" s="48" t="s">
        <v>452</v>
      </c>
      <c r="C272" s="49" t="s">
        <v>13</v>
      </c>
      <c r="D272" s="50"/>
      <c r="E272" s="51" t="s">
        <v>444</v>
      </c>
      <c r="F272" s="52"/>
      <c r="G272" s="53" t="s">
        <v>453</v>
      </c>
      <c r="H272" s="56"/>
      <c r="I272" s="56" t="s">
        <v>694</v>
      </c>
    </row>
    <row r="273" spans="2:9" ht="22.05" customHeight="1" x14ac:dyDescent="0.3">
      <c r="B273" s="48" t="s">
        <v>236</v>
      </c>
      <c r="C273" s="49" t="s">
        <v>13</v>
      </c>
      <c r="D273" s="50"/>
      <c r="E273" s="51" t="s">
        <v>444</v>
      </c>
      <c r="F273" s="52"/>
      <c r="G273" s="53" t="s">
        <v>237</v>
      </c>
      <c r="H273" s="56"/>
      <c r="I273" s="56" t="s">
        <v>694</v>
      </c>
    </row>
    <row r="274" spans="2:9" ht="6" customHeight="1" x14ac:dyDescent="0.3"/>
    <row r="275" spans="2:9" ht="30" customHeight="1" x14ac:dyDescent="0.3">
      <c r="B275" s="45" t="s">
        <v>454</v>
      </c>
      <c r="C275" s="44"/>
      <c r="D275" s="44"/>
      <c r="E275" s="46" t="s">
        <v>711</v>
      </c>
      <c r="F275" s="47" t="s">
        <v>180</v>
      </c>
      <c r="G275" s="44"/>
      <c r="H275" s="55" t="s">
        <v>455</v>
      </c>
      <c r="I275" s="55" t="s">
        <v>695</v>
      </c>
    </row>
    <row r="276" spans="2:9" ht="22.05" customHeight="1" x14ac:dyDescent="0.3">
      <c r="B276" s="48" t="s">
        <v>456</v>
      </c>
      <c r="C276" s="49" t="s">
        <v>13</v>
      </c>
      <c r="D276" s="50"/>
      <c r="E276" s="51" t="s">
        <v>711</v>
      </c>
      <c r="F276" s="52" t="s">
        <v>180</v>
      </c>
      <c r="G276" s="53" t="s">
        <v>457</v>
      </c>
      <c r="H276" s="56"/>
      <c r="I276" s="56" t="s">
        <v>695</v>
      </c>
    </row>
    <row r="277" spans="2:9" ht="22.05" customHeight="1" x14ac:dyDescent="0.3">
      <c r="B277" s="48" t="s">
        <v>458</v>
      </c>
      <c r="C277" s="49" t="s">
        <v>13</v>
      </c>
      <c r="D277" s="50"/>
      <c r="E277" s="51" t="s">
        <v>711</v>
      </c>
      <c r="F277" s="52" t="s">
        <v>180</v>
      </c>
      <c r="G277" s="53" t="s">
        <v>459</v>
      </c>
      <c r="H277" s="56"/>
      <c r="I277" s="56" t="s">
        <v>695</v>
      </c>
    </row>
    <row r="278" spans="2:9" ht="22.05" customHeight="1" x14ac:dyDescent="0.3">
      <c r="B278" s="48" t="s">
        <v>460</v>
      </c>
      <c r="C278" s="49" t="s">
        <v>13</v>
      </c>
      <c r="D278" s="50"/>
      <c r="E278" s="51" t="s">
        <v>711</v>
      </c>
      <c r="F278" s="52" t="s">
        <v>180</v>
      </c>
      <c r="G278" s="53" t="s">
        <v>461</v>
      </c>
      <c r="H278" s="56"/>
      <c r="I278" s="56" t="s">
        <v>695</v>
      </c>
    </row>
    <row r="279" spans="2:9" s="64" customFormat="1" ht="22.05" customHeight="1" x14ac:dyDescent="0.3">
      <c r="B279" s="48" t="s">
        <v>734</v>
      </c>
      <c r="C279" s="66" t="s">
        <v>13</v>
      </c>
      <c r="D279" s="50"/>
      <c r="E279" s="51" t="str">
        <f>E275</f>
        <v>SVT + SES ou SVT + HGGSP</v>
      </c>
      <c r="F279" s="52" t="str">
        <f>F275</f>
        <v>DGEMC conseillée (option Tle)</v>
      </c>
      <c r="G279" s="53" t="s">
        <v>735</v>
      </c>
      <c r="H279" s="56"/>
      <c r="I279" s="56" t="str">
        <f>I275</f>
        <v>SVT+* | SVT+SES | SVT+HGGSP</v>
      </c>
    </row>
    <row r="280" spans="2:9" ht="6" customHeight="1" x14ac:dyDescent="0.3"/>
    <row r="281" spans="2:9" ht="25.95" customHeight="1" x14ac:dyDescent="0.3">
      <c r="B281" s="45" t="s">
        <v>462</v>
      </c>
      <c r="C281" s="44"/>
      <c r="D281" s="44"/>
      <c r="E281" s="46" t="s">
        <v>9</v>
      </c>
      <c r="F281" s="47" t="s">
        <v>10</v>
      </c>
      <c r="G281" s="44"/>
      <c r="H281" s="55" t="s">
        <v>463</v>
      </c>
      <c r="I281" s="55" t="s">
        <v>686</v>
      </c>
    </row>
    <row r="282" spans="2:9" ht="22.05" customHeight="1" x14ac:dyDescent="0.3">
      <c r="B282" s="48" t="s">
        <v>464</v>
      </c>
      <c r="C282" s="49" t="s">
        <v>13</v>
      </c>
      <c r="D282" s="50"/>
      <c r="E282" s="51" t="s">
        <v>9</v>
      </c>
      <c r="F282" s="52" t="s">
        <v>10</v>
      </c>
      <c r="G282" s="53" t="s">
        <v>465</v>
      </c>
      <c r="H282" s="56"/>
      <c r="I282" s="56" t="s">
        <v>686</v>
      </c>
    </row>
    <row r="283" spans="2:9" ht="22.05" customHeight="1" x14ac:dyDescent="0.3">
      <c r="B283" s="48" t="s">
        <v>466</v>
      </c>
      <c r="C283" s="49" t="s">
        <v>13</v>
      </c>
      <c r="D283" s="54" t="s">
        <v>13</v>
      </c>
      <c r="E283" s="51" t="s">
        <v>9</v>
      </c>
      <c r="F283" s="52" t="s">
        <v>10</v>
      </c>
      <c r="G283" s="53" t="s">
        <v>467</v>
      </c>
      <c r="H283" s="56"/>
      <c r="I283" s="56" t="s">
        <v>686</v>
      </c>
    </row>
    <row r="284" spans="2:9" ht="22.05" customHeight="1" x14ac:dyDescent="0.3">
      <c r="B284" s="48" t="s">
        <v>468</v>
      </c>
      <c r="C284" s="49" t="s">
        <v>13</v>
      </c>
      <c r="D284" s="50"/>
      <c r="E284" s="51" t="s">
        <v>9</v>
      </c>
      <c r="F284" s="52" t="s">
        <v>10</v>
      </c>
      <c r="G284" s="53" t="s">
        <v>469</v>
      </c>
      <c r="H284" s="56"/>
      <c r="I284" s="56" t="s">
        <v>686</v>
      </c>
    </row>
    <row r="285" spans="2:9" ht="22.05" customHeight="1" x14ac:dyDescent="0.3">
      <c r="B285" s="48" t="s">
        <v>470</v>
      </c>
      <c r="C285" s="49" t="s">
        <v>13</v>
      </c>
      <c r="D285" s="50"/>
      <c r="E285" s="51" t="s">
        <v>9</v>
      </c>
      <c r="F285" s="52" t="s">
        <v>10</v>
      </c>
      <c r="G285" s="53" t="s">
        <v>471</v>
      </c>
      <c r="H285" s="56"/>
      <c r="I285" s="56" t="s">
        <v>686</v>
      </c>
    </row>
    <row r="286" spans="2:9" ht="22.05" customHeight="1" x14ac:dyDescent="0.3">
      <c r="B286" s="48" t="s">
        <v>472</v>
      </c>
      <c r="C286" s="49" t="s">
        <v>13</v>
      </c>
      <c r="D286" s="50"/>
      <c r="E286" s="51" t="s">
        <v>9</v>
      </c>
      <c r="F286" s="52" t="s">
        <v>10</v>
      </c>
      <c r="G286" s="53" t="s">
        <v>473</v>
      </c>
      <c r="H286" s="56"/>
      <c r="I286" s="56" t="s">
        <v>686</v>
      </c>
    </row>
    <row r="287" spans="2:9" ht="22.05" customHeight="1" x14ac:dyDescent="0.3">
      <c r="B287" s="48" t="s">
        <v>474</v>
      </c>
      <c r="C287" s="49" t="s">
        <v>13</v>
      </c>
      <c r="D287" s="50"/>
      <c r="E287" s="51" t="s">
        <v>9</v>
      </c>
      <c r="F287" s="52" t="s">
        <v>10</v>
      </c>
      <c r="G287" s="53" t="s">
        <v>475</v>
      </c>
      <c r="H287" s="56"/>
      <c r="I287" s="56" t="s">
        <v>686</v>
      </c>
    </row>
    <row r="288" spans="2:9" ht="22.05" customHeight="1" x14ac:dyDescent="0.3">
      <c r="B288" s="48" t="s">
        <v>476</v>
      </c>
      <c r="C288" s="49" t="s">
        <v>13</v>
      </c>
      <c r="D288" s="50"/>
      <c r="E288" s="51" t="s">
        <v>9</v>
      </c>
      <c r="F288" s="52" t="s">
        <v>10</v>
      </c>
      <c r="G288" s="53" t="s">
        <v>477</v>
      </c>
      <c r="H288" s="56"/>
      <c r="I288" s="56" t="s">
        <v>686</v>
      </c>
    </row>
    <row r="289" spans="2:9" ht="22.05" customHeight="1" x14ac:dyDescent="0.3">
      <c r="B289" s="48" t="s">
        <v>478</v>
      </c>
      <c r="C289" s="49" t="s">
        <v>13</v>
      </c>
      <c r="D289" s="50"/>
      <c r="E289" s="51" t="s">
        <v>9</v>
      </c>
      <c r="F289" s="52" t="s">
        <v>10</v>
      </c>
      <c r="G289" s="53" t="s">
        <v>479</v>
      </c>
      <c r="H289" s="56"/>
      <c r="I289" s="56" t="s">
        <v>686</v>
      </c>
    </row>
    <row r="290" spans="2:9" ht="22.05" customHeight="1" x14ac:dyDescent="0.3">
      <c r="B290" s="48" t="s">
        <v>480</v>
      </c>
      <c r="C290" s="49" t="s">
        <v>13</v>
      </c>
      <c r="D290" s="50"/>
      <c r="E290" s="51" t="s">
        <v>9</v>
      </c>
      <c r="F290" s="52" t="s">
        <v>10</v>
      </c>
      <c r="G290" s="53" t="s">
        <v>481</v>
      </c>
      <c r="H290" s="56"/>
      <c r="I290" s="56" t="s">
        <v>686</v>
      </c>
    </row>
    <row r="291" spans="2:9" ht="22.05" customHeight="1" x14ac:dyDescent="0.3">
      <c r="B291" s="48" t="s">
        <v>482</v>
      </c>
      <c r="C291" s="49" t="s">
        <v>13</v>
      </c>
      <c r="D291" s="50"/>
      <c r="E291" s="51" t="s">
        <v>9</v>
      </c>
      <c r="F291" s="52" t="s">
        <v>10</v>
      </c>
      <c r="G291" s="53" t="s">
        <v>483</v>
      </c>
      <c r="H291" s="56"/>
      <c r="I291" s="56" t="s">
        <v>686</v>
      </c>
    </row>
    <row r="292" spans="2:9" ht="22.05" customHeight="1" x14ac:dyDescent="0.3">
      <c r="B292" s="48" t="s">
        <v>484</v>
      </c>
      <c r="C292" s="49" t="s">
        <v>13</v>
      </c>
      <c r="D292" s="50"/>
      <c r="E292" s="51" t="s">
        <v>9</v>
      </c>
      <c r="F292" s="52" t="s">
        <v>10</v>
      </c>
      <c r="G292" s="53" t="s">
        <v>485</v>
      </c>
      <c r="H292" s="56"/>
      <c r="I292" s="56" t="s">
        <v>686</v>
      </c>
    </row>
    <row r="293" spans="2:9" ht="22.05" customHeight="1" x14ac:dyDescent="0.3">
      <c r="B293" s="48" t="s">
        <v>486</v>
      </c>
      <c r="C293" s="49" t="s">
        <v>13</v>
      </c>
      <c r="D293" s="50"/>
      <c r="E293" s="51" t="s">
        <v>9</v>
      </c>
      <c r="F293" s="52" t="s">
        <v>10</v>
      </c>
      <c r="G293" s="53" t="s">
        <v>487</v>
      </c>
      <c r="H293" s="56"/>
      <c r="I293" s="56" t="s">
        <v>686</v>
      </c>
    </row>
    <row r="294" spans="2:9" ht="22.05" customHeight="1" x14ac:dyDescent="0.3">
      <c r="B294" s="48" t="s">
        <v>488</v>
      </c>
      <c r="C294" s="49" t="s">
        <v>13</v>
      </c>
      <c r="D294" s="50"/>
      <c r="E294" s="51" t="s">
        <v>9</v>
      </c>
      <c r="F294" s="52" t="s">
        <v>10</v>
      </c>
      <c r="G294" s="53" t="s">
        <v>489</v>
      </c>
      <c r="H294" s="56"/>
      <c r="I294" s="56" t="s">
        <v>686</v>
      </c>
    </row>
    <row r="295" spans="2:9" ht="22.05" customHeight="1" x14ac:dyDescent="0.3">
      <c r="B295" s="48" t="s">
        <v>490</v>
      </c>
      <c r="C295" s="49" t="s">
        <v>13</v>
      </c>
      <c r="D295" s="50"/>
      <c r="E295" s="51" t="s">
        <v>9</v>
      </c>
      <c r="F295" s="52" t="s">
        <v>10</v>
      </c>
      <c r="G295" s="53" t="s">
        <v>491</v>
      </c>
      <c r="H295" s="56"/>
      <c r="I295" s="56" t="s">
        <v>686</v>
      </c>
    </row>
    <row r="296" spans="2:9" ht="22.05" customHeight="1" x14ac:dyDescent="0.3">
      <c r="B296" s="48" t="s">
        <v>210</v>
      </c>
      <c r="C296" s="49" t="s">
        <v>13</v>
      </c>
      <c r="D296" s="50"/>
      <c r="E296" s="51" t="s">
        <v>9</v>
      </c>
      <c r="F296" s="52" t="s">
        <v>10</v>
      </c>
      <c r="G296" s="53" t="s">
        <v>492</v>
      </c>
      <c r="H296" s="56"/>
      <c r="I296" s="56" t="s">
        <v>686</v>
      </c>
    </row>
    <row r="297" spans="2:9" ht="22.05" customHeight="1" x14ac:dyDescent="0.3">
      <c r="B297" s="48" t="s">
        <v>493</v>
      </c>
      <c r="C297" s="49" t="s">
        <v>13</v>
      </c>
      <c r="D297" s="50"/>
      <c r="E297" s="51" t="s">
        <v>9</v>
      </c>
      <c r="F297" s="52" t="s">
        <v>10</v>
      </c>
      <c r="G297" s="53" t="s">
        <v>494</v>
      </c>
      <c r="H297" s="56"/>
      <c r="I297" s="56" t="s">
        <v>686</v>
      </c>
    </row>
    <row r="298" spans="2:9" ht="22.05" customHeight="1" x14ac:dyDescent="0.3">
      <c r="B298" s="48" t="s">
        <v>495</v>
      </c>
      <c r="C298" s="49" t="s">
        <v>13</v>
      </c>
      <c r="D298" s="54" t="s">
        <v>13</v>
      </c>
      <c r="E298" s="51" t="s">
        <v>9</v>
      </c>
      <c r="F298" s="52" t="s">
        <v>10</v>
      </c>
      <c r="G298" s="53" t="s">
        <v>496</v>
      </c>
      <c r="H298" s="56"/>
      <c r="I298" s="56" t="s">
        <v>686</v>
      </c>
    </row>
    <row r="299" spans="2:9" ht="22.05" customHeight="1" x14ac:dyDescent="0.3">
      <c r="B299" s="48" t="s">
        <v>204</v>
      </c>
      <c r="C299" s="49" t="s">
        <v>13</v>
      </c>
      <c r="D299" s="50"/>
      <c r="E299" s="51" t="s">
        <v>9</v>
      </c>
      <c r="F299" s="52" t="s">
        <v>10</v>
      </c>
      <c r="G299" s="53" t="s">
        <v>205</v>
      </c>
      <c r="H299" s="56"/>
      <c r="I299" s="56" t="s">
        <v>686</v>
      </c>
    </row>
    <row r="300" spans="2:9" ht="22.05" customHeight="1" x14ac:dyDescent="0.3">
      <c r="B300" s="48" t="s">
        <v>441</v>
      </c>
      <c r="C300" s="49" t="s">
        <v>13</v>
      </c>
      <c r="D300" s="50"/>
      <c r="E300" s="51" t="s">
        <v>9</v>
      </c>
      <c r="F300" s="52" t="s">
        <v>10</v>
      </c>
      <c r="G300" s="53" t="s">
        <v>442</v>
      </c>
      <c r="H300" s="56"/>
      <c r="I300" s="56" t="s">
        <v>686</v>
      </c>
    </row>
    <row r="301" spans="2:9" ht="22.05" customHeight="1" x14ac:dyDescent="0.3">
      <c r="B301" s="48" t="s">
        <v>497</v>
      </c>
      <c r="C301" s="49" t="s">
        <v>13</v>
      </c>
      <c r="D301" s="54" t="s">
        <v>13</v>
      </c>
      <c r="E301" s="51" t="s">
        <v>9</v>
      </c>
      <c r="F301" s="52" t="s">
        <v>10</v>
      </c>
      <c r="G301" s="53" t="s">
        <v>498</v>
      </c>
      <c r="H301" s="56"/>
      <c r="I301" s="56" t="s">
        <v>686</v>
      </c>
    </row>
    <row r="302" spans="2:9" ht="22.05" customHeight="1" x14ac:dyDescent="0.3">
      <c r="B302" s="48" t="s">
        <v>499</v>
      </c>
      <c r="C302" s="49" t="s">
        <v>13</v>
      </c>
      <c r="D302" s="54" t="s">
        <v>13</v>
      </c>
      <c r="E302" s="51" t="s">
        <v>9</v>
      </c>
      <c r="F302" s="52" t="s">
        <v>10</v>
      </c>
      <c r="G302" s="53" t="s">
        <v>500</v>
      </c>
      <c r="H302" s="56"/>
      <c r="I302" s="56" t="s">
        <v>686</v>
      </c>
    </row>
    <row r="303" spans="2:9" ht="22.05" customHeight="1" x14ac:dyDescent="0.3">
      <c r="B303" s="48" t="s">
        <v>501</v>
      </c>
      <c r="C303" s="49" t="s">
        <v>13</v>
      </c>
      <c r="D303" s="50"/>
      <c r="E303" s="51" t="s">
        <v>9</v>
      </c>
      <c r="F303" s="52" t="s">
        <v>10</v>
      </c>
      <c r="G303" s="53" t="s">
        <v>502</v>
      </c>
      <c r="H303" s="56"/>
      <c r="I303" s="56" t="s">
        <v>686</v>
      </c>
    </row>
    <row r="304" spans="2:9" ht="22.05" customHeight="1" x14ac:dyDescent="0.3">
      <c r="B304" s="48" t="s">
        <v>503</v>
      </c>
      <c r="C304" s="49" t="s">
        <v>13</v>
      </c>
      <c r="D304" s="50"/>
      <c r="E304" s="51" t="s">
        <v>9</v>
      </c>
      <c r="F304" s="52" t="s">
        <v>10</v>
      </c>
      <c r="G304" s="53" t="s">
        <v>504</v>
      </c>
      <c r="H304" s="56"/>
      <c r="I304" s="56" t="s">
        <v>686</v>
      </c>
    </row>
    <row r="305" spans="2:9" ht="22.05" customHeight="1" x14ac:dyDescent="0.3">
      <c r="B305" s="48" t="s">
        <v>446</v>
      </c>
      <c r="C305" s="49" t="s">
        <v>13</v>
      </c>
      <c r="D305" s="50"/>
      <c r="E305" s="51" t="s">
        <v>9</v>
      </c>
      <c r="F305" s="52" t="s">
        <v>10</v>
      </c>
      <c r="G305" s="53" t="s">
        <v>447</v>
      </c>
      <c r="H305" s="56"/>
      <c r="I305" s="56" t="s">
        <v>686</v>
      </c>
    </row>
    <row r="306" spans="2:9" ht="22.05" customHeight="1" x14ac:dyDescent="0.3">
      <c r="B306" s="48" t="s">
        <v>413</v>
      </c>
      <c r="C306" s="49" t="s">
        <v>13</v>
      </c>
      <c r="D306" s="50"/>
      <c r="E306" s="51" t="s">
        <v>9</v>
      </c>
      <c r="F306" s="52" t="s">
        <v>10</v>
      </c>
      <c r="G306" s="53" t="s">
        <v>414</v>
      </c>
      <c r="H306" s="56"/>
      <c r="I306" s="56" t="s">
        <v>686</v>
      </c>
    </row>
    <row r="307" spans="2:9" ht="22.05" customHeight="1" x14ac:dyDescent="0.3">
      <c r="B307" s="48" t="s">
        <v>505</v>
      </c>
      <c r="C307" s="49" t="s">
        <v>13</v>
      </c>
      <c r="D307" s="54" t="s">
        <v>13</v>
      </c>
      <c r="E307" s="51" t="s">
        <v>9</v>
      </c>
      <c r="F307" s="52" t="s">
        <v>10</v>
      </c>
      <c r="G307" s="53" t="s">
        <v>506</v>
      </c>
      <c r="H307" s="56"/>
      <c r="I307" s="56" t="s">
        <v>686</v>
      </c>
    </row>
    <row r="308" spans="2:9" ht="22.05" customHeight="1" x14ac:dyDescent="0.3">
      <c r="B308" s="48" t="s">
        <v>507</v>
      </c>
      <c r="C308" s="49" t="s">
        <v>13</v>
      </c>
      <c r="D308" s="50"/>
      <c r="E308" s="51" t="s">
        <v>9</v>
      </c>
      <c r="F308" s="52" t="s">
        <v>10</v>
      </c>
      <c r="G308" s="53" t="s">
        <v>508</v>
      </c>
      <c r="H308" s="56"/>
      <c r="I308" s="56" t="s">
        <v>686</v>
      </c>
    </row>
    <row r="309" spans="2:9" ht="22.05" customHeight="1" x14ac:dyDescent="0.3">
      <c r="B309" s="48" t="s">
        <v>419</v>
      </c>
      <c r="C309" s="49" t="s">
        <v>13</v>
      </c>
      <c r="D309" s="50"/>
      <c r="E309" s="51" t="s">
        <v>9</v>
      </c>
      <c r="F309" s="52" t="s">
        <v>10</v>
      </c>
      <c r="G309" s="53" t="s">
        <v>420</v>
      </c>
      <c r="H309" s="56"/>
      <c r="I309" s="56" t="s">
        <v>686</v>
      </c>
    </row>
    <row r="310" spans="2:9" ht="22.05" customHeight="1" x14ac:dyDescent="0.3">
      <c r="B310" s="48" t="s">
        <v>421</v>
      </c>
      <c r="C310" s="49" t="s">
        <v>13</v>
      </c>
      <c r="D310" s="50"/>
      <c r="E310" s="51" t="s">
        <v>9</v>
      </c>
      <c r="F310" s="52" t="s">
        <v>10</v>
      </c>
      <c r="G310" s="53" t="s">
        <v>422</v>
      </c>
      <c r="H310" s="56"/>
      <c r="I310" s="56" t="s">
        <v>686</v>
      </c>
    </row>
    <row r="311" spans="2:9" ht="22.05" customHeight="1" x14ac:dyDescent="0.3">
      <c r="B311" s="48" t="s">
        <v>509</v>
      </c>
      <c r="C311" s="49" t="s">
        <v>13</v>
      </c>
      <c r="D311" s="50"/>
      <c r="E311" s="51" t="s">
        <v>9</v>
      </c>
      <c r="F311" s="52" t="s">
        <v>10</v>
      </c>
      <c r="G311" s="53" t="s">
        <v>510</v>
      </c>
      <c r="H311" s="56"/>
      <c r="I311" s="56" t="s">
        <v>686</v>
      </c>
    </row>
    <row r="312" spans="2:9" ht="22.05" customHeight="1" x14ac:dyDescent="0.3">
      <c r="B312" s="48" t="s">
        <v>511</v>
      </c>
      <c r="C312" s="49" t="s">
        <v>13</v>
      </c>
      <c r="D312" s="54" t="s">
        <v>13</v>
      </c>
      <c r="E312" s="51" t="s">
        <v>9</v>
      </c>
      <c r="F312" s="52" t="s">
        <v>10</v>
      </c>
      <c r="G312" s="53" t="s">
        <v>512</v>
      </c>
      <c r="H312" s="56"/>
      <c r="I312" s="56" t="s">
        <v>686</v>
      </c>
    </row>
    <row r="313" spans="2:9" ht="22.05" customHeight="1" x14ac:dyDescent="0.3">
      <c r="B313" s="48" t="s">
        <v>513</v>
      </c>
      <c r="C313" s="49" t="s">
        <v>13</v>
      </c>
      <c r="D313" s="50"/>
      <c r="E313" s="51" t="s">
        <v>9</v>
      </c>
      <c r="F313" s="52" t="s">
        <v>10</v>
      </c>
      <c r="G313" s="53" t="s">
        <v>514</v>
      </c>
      <c r="H313" s="56"/>
      <c r="I313" s="56" t="s">
        <v>686</v>
      </c>
    </row>
    <row r="314" spans="2:9" ht="22.05" customHeight="1" x14ac:dyDescent="0.3">
      <c r="B314" s="48" t="s">
        <v>515</v>
      </c>
      <c r="C314" s="49" t="s">
        <v>13</v>
      </c>
      <c r="D314" s="50"/>
      <c r="E314" s="51" t="s">
        <v>9</v>
      </c>
      <c r="F314" s="52" t="s">
        <v>10</v>
      </c>
      <c r="G314" s="53" t="s">
        <v>516</v>
      </c>
      <c r="H314" s="56"/>
      <c r="I314" s="56" t="s">
        <v>686</v>
      </c>
    </row>
    <row r="315" spans="2:9" ht="22.05" customHeight="1" x14ac:dyDescent="0.3">
      <c r="B315" s="48" t="s">
        <v>517</v>
      </c>
      <c r="C315" s="49" t="s">
        <v>13</v>
      </c>
      <c r="D315" s="50"/>
      <c r="E315" s="51" t="s">
        <v>9</v>
      </c>
      <c r="F315" s="52" t="s">
        <v>10</v>
      </c>
      <c r="G315" s="53" t="s">
        <v>518</v>
      </c>
      <c r="H315" s="56"/>
      <c r="I315" s="56" t="s">
        <v>686</v>
      </c>
    </row>
    <row r="316" spans="2:9" ht="22.05" customHeight="1" x14ac:dyDescent="0.3">
      <c r="B316" s="48" t="s">
        <v>519</v>
      </c>
      <c r="C316" s="49" t="s">
        <v>13</v>
      </c>
      <c r="D316" s="50"/>
      <c r="E316" s="51" t="s">
        <v>9</v>
      </c>
      <c r="F316" s="52" t="s">
        <v>10</v>
      </c>
      <c r="G316" s="53" t="s">
        <v>520</v>
      </c>
      <c r="H316" s="56"/>
      <c r="I316" s="56" t="s">
        <v>686</v>
      </c>
    </row>
    <row r="317" spans="2:9" ht="22.05" customHeight="1" x14ac:dyDescent="0.3">
      <c r="B317" s="48" t="s">
        <v>521</v>
      </c>
      <c r="C317" s="49" t="s">
        <v>13</v>
      </c>
      <c r="D317" s="50"/>
      <c r="E317" s="51" t="s">
        <v>9</v>
      </c>
      <c r="F317" s="52" t="s">
        <v>10</v>
      </c>
      <c r="G317" s="53" t="s">
        <v>522</v>
      </c>
      <c r="H317" s="56"/>
      <c r="I317" s="56" t="s">
        <v>686</v>
      </c>
    </row>
    <row r="318" spans="2:9" ht="22.05" customHeight="1" x14ac:dyDescent="0.3">
      <c r="B318" s="48" t="s">
        <v>523</v>
      </c>
      <c r="C318" s="49" t="s">
        <v>13</v>
      </c>
      <c r="D318" s="50"/>
      <c r="E318" s="51" t="s">
        <v>9</v>
      </c>
      <c r="F318" s="52" t="s">
        <v>10</v>
      </c>
      <c r="G318" s="53" t="s">
        <v>524</v>
      </c>
      <c r="H318" s="56"/>
      <c r="I318" s="56" t="s">
        <v>686</v>
      </c>
    </row>
    <row r="319" spans="2:9" ht="22.05" customHeight="1" x14ac:dyDescent="0.3">
      <c r="B319" s="48" t="s">
        <v>525</v>
      </c>
      <c r="C319" s="49" t="s">
        <v>13</v>
      </c>
      <c r="D319" s="50"/>
      <c r="E319" s="51" t="s">
        <v>9</v>
      </c>
      <c r="F319" s="52" t="s">
        <v>10</v>
      </c>
      <c r="G319" s="53" t="s">
        <v>526</v>
      </c>
      <c r="H319" s="56"/>
      <c r="I319" s="56" t="s">
        <v>686</v>
      </c>
    </row>
    <row r="320" spans="2:9" ht="22.05" customHeight="1" x14ac:dyDescent="0.3">
      <c r="B320" s="48" t="s">
        <v>527</v>
      </c>
      <c r="C320" s="49" t="s">
        <v>13</v>
      </c>
      <c r="D320" s="50"/>
      <c r="E320" s="51" t="s">
        <v>9</v>
      </c>
      <c r="F320" s="52" t="s">
        <v>10</v>
      </c>
      <c r="G320" s="53" t="s">
        <v>528</v>
      </c>
      <c r="H320" s="56"/>
      <c r="I320" s="56" t="s">
        <v>686</v>
      </c>
    </row>
    <row r="321" spans="2:9" ht="22.05" customHeight="1" x14ac:dyDescent="0.3">
      <c r="B321" s="48" t="s">
        <v>529</v>
      </c>
      <c r="C321" s="49" t="s">
        <v>13</v>
      </c>
      <c r="D321" s="50"/>
      <c r="E321" s="51" t="s">
        <v>9</v>
      </c>
      <c r="F321" s="52" t="s">
        <v>10</v>
      </c>
      <c r="G321" s="53" t="s">
        <v>530</v>
      </c>
      <c r="H321" s="56"/>
      <c r="I321" s="56" t="s">
        <v>686</v>
      </c>
    </row>
    <row r="322" spans="2:9" ht="22.05" customHeight="1" x14ac:dyDescent="0.3">
      <c r="B322" s="48" t="s">
        <v>182</v>
      </c>
      <c r="C322" s="49" t="s">
        <v>13</v>
      </c>
      <c r="D322" s="50"/>
      <c r="E322" s="51" t="s">
        <v>9</v>
      </c>
      <c r="F322" s="52" t="s">
        <v>10</v>
      </c>
      <c r="G322" s="53" t="s">
        <v>531</v>
      </c>
      <c r="H322" s="56"/>
      <c r="I322" s="56" t="s">
        <v>686</v>
      </c>
    </row>
    <row r="323" spans="2:9" ht="6" customHeight="1" x14ac:dyDescent="0.3"/>
    <row r="324" spans="2:9" ht="25.95" customHeight="1" x14ac:dyDescent="0.3">
      <c r="B324" s="45" t="s">
        <v>532</v>
      </c>
      <c r="C324" s="44"/>
      <c r="D324" s="44"/>
      <c r="E324" s="46" t="s">
        <v>533</v>
      </c>
      <c r="F324" s="47"/>
      <c r="G324" s="44"/>
      <c r="H324" s="55" t="s">
        <v>534</v>
      </c>
      <c r="I324" s="55" t="s">
        <v>694</v>
      </c>
    </row>
    <row r="325" spans="2:9" ht="22.05" customHeight="1" x14ac:dyDescent="0.3">
      <c r="B325" s="48" t="s">
        <v>535</v>
      </c>
      <c r="C325" s="49" t="s">
        <v>13</v>
      </c>
      <c r="D325" s="50"/>
      <c r="E325" s="51" t="s">
        <v>533</v>
      </c>
      <c r="F325" s="52"/>
      <c r="G325" s="53" t="s">
        <v>536</v>
      </c>
      <c r="H325" s="56"/>
      <c r="I325" s="56" t="s">
        <v>694</v>
      </c>
    </row>
    <row r="326" spans="2:9" ht="22.05" customHeight="1" x14ac:dyDescent="0.3">
      <c r="B326" s="48" t="s">
        <v>537</v>
      </c>
      <c r="C326" s="49" t="s">
        <v>13</v>
      </c>
      <c r="D326" s="50"/>
      <c r="E326" s="51" t="s">
        <v>533</v>
      </c>
      <c r="F326" s="52"/>
      <c r="G326" s="53" t="s">
        <v>538</v>
      </c>
      <c r="H326" s="56"/>
      <c r="I326" s="56" t="s">
        <v>694</v>
      </c>
    </row>
    <row r="327" spans="2:9" ht="22.05" customHeight="1" x14ac:dyDescent="0.3">
      <c r="B327" s="48" t="s">
        <v>452</v>
      </c>
      <c r="C327" s="49" t="s">
        <v>13</v>
      </c>
      <c r="D327" s="50"/>
      <c r="E327" s="51" t="s">
        <v>533</v>
      </c>
      <c r="F327" s="52"/>
      <c r="G327" s="53" t="s">
        <v>453</v>
      </c>
      <c r="H327" s="56"/>
      <c r="I327" s="56" t="s">
        <v>694</v>
      </c>
    </row>
    <row r="328" spans="2:9" ht="22.05" customHeight="1" x14ac:dyDescent="0.3">
      <c r="B328" s="48" t="s">
        <v>539</v>
      </c>
      <c r="C328" s="49" t="s">
        <v>13</v>
      </c>
      <c r="D328" s="50"/>
      <c r="E328" s="51" t="s">
        <v>533</v>
      </c>
      <c r="F328" s="52"/>
      <c r="G328" s="53" t="s">
        <v>540</v>
      </c>
      <c r="H328" s="56"/>
      <c r="I328" s="56" t="s">
        <v>694</v>
      </c>
    </row>
    <row r="329" spans="2:9" ht="22.05" customHeight="1" x14ac:dyDescent="0.3">
      <c r="B329" s="48" t="s">
        <v>339</v>
      </c>
      <c r="C329" s="49" t="s">
        <v>13</v>
      </c>
      <c r="D329" s="50"/>
      <c r="E329" s="51" t="s">
        <v>533</v>
      </c>
      <c r="F329" s="52"/>
      <c r="G329" s="53" t="s">
        <v>340</v>
      </c>
      <c r="H329" s="56"/>
      <c r="I329" s="56" t="s">
        <v>694</v>
      </c>
    </row>
    <row r="330" spans="2:9" ht="22.05" customHeight="1" x14ac:dyDescent="0.3">
      <c r="B330" s="48" t="s">
        <v>450</v>
      </c>
      <c r="C330" s="49" t="s">
        <v>13</v>
      </c>
      <c r="D330" s="50"/>
      <c r="E330" s="51" t="s">
        <v>533</v>
      </c>
      <c r="F330" s="52"/>
      <c r="G330" s="53" t="s">
        <v>451</v>
      </c>
      <c r="H330" s="56"/>
      <c r="I330" s="56" t="s">
        <v>694</v>
      </c>
    </row>
    <row r="331" spans="2:9" ht="6" customHeight="1" x14ac:dyDescent="0.3"/>
    <row r="332" spans="2:9" ht="25.95" customHeight="1" x14ac:dyDescent="0.3">
      <c r="B332" s="45" t="s">
        <v>541</v>
      </c>
      <c r="C332" s="44"/>
      <c r="D332" s="44"/>
      <c r="E332" s="46" t="s">
        <v>542</v>
      </c>
      <c r="F332" s="47"/>
      <c r="G332" s="44"/>
      <c r="H332" s="55" t="s">
        <v>543</v>
      </c>
      <c r="I332" s="55" t="s">
        <v>696</v>
      </c>
    </row>
    <row r="333" spans="2:9" ht="22.05" customHeight="1" x14ac:dyDescent="0.3">
      <c r="B333" s="48" t="s">
        <v>544</v>
      </c>
      <c r="C333" s="49" t="s">
        <v>13</v>
      </c>
      <c r="D333" s="50"/>
      <c r="E333" s="51" t="s">
        <v>542</v>
      </c>
      <c r="F333" s="52"/>
      <c r="G333" s="53" t="s">
        <v>545</v>
      </c>
      <c r="H333" s="56"/>
      <c r="I333" s="56" t="s">
        <v>696</v>
      </c>
    </row>
    <row r="334" spans="2:9" ht="22.05" customHeight="1" x14ac:dyDescent="0.3">
      <c r="B334" s="48" t="s">
        <v>546</v>
      </c>
      <c r="C334" s="49" t="s">
        <v>13</v>
      </c>
      <c r="D334" s="50"/>
      <c r="E334" s="51" t="s">
        <v>542</v>
      </c>
      <c r="F334" s="52"/>
      <c r="G334" s="53" t="s">
        <v>547</v>
      </c>
      <c r="H334" s="56"/>
      <c r="I334" s="56" t="s">
        <v>696</v>
      </c>
    </row>
    <row r="335" spans="2:9" ht="6" customHeight="1" x14ac:dyDescent="0.3"/>
    <row r="336" spans="2:9" ht="25.95" customHeight="1" x14ac:dyDescent="0.3">
      <c r="B336" s="45" t="s">
        <v>548</v>
      </c>
      <c r="C336" s="44"/>
      <c r="D336" s="44"/>
      <c r="E336" s="46" t="s">
        <v>743</v>
      </c>
      <c r="F336" s="47"/>
      <c r="G336" s="44"/>
      <c r="H336" s="55" t="s">
        <v>549</v>
      </c>
      <c r="I336" s="55" t="s">
        <v>696</v>
      </c>
    </row>
    <row r="337" spans="2:9" ht="22.05" customHeight="1" x14ac:dyDescent="0.3">
      <c r="B337" s="48" t="s">
        <v>550</v>
      </c>
      <c r="C337" s="49" t="s">
        <v>13</v>
      </c>
      <c r="D337" s="50"/>
      <c r="E337" s="51" t="s">
        <v>743</v>
      </c>
      <c r="F337" s="52"/>
      <c r="G337" s="53" t="s">
        <v>551</v>
      </c>
      <c r="H337" s="56"/>
      <c r="I337" s="56" t="s">
        <v>696</v>
      </c>
    </row>
    <row r="338" spans="2:9" ht="22.05" customHeight="1" x14ac:dyDescent="0.3">
      <c r="B338" s="48" t="s">
        <v>450</v>
      </c>
      <c r="C338" s="49" t="s">
        <v>13</v>
      </c>
      <c r="D338" s="50"/>
      <c r="E338" s="51" t="s">
        <v>743</v>
      </c>
      <c r="F338" s="52"/>
      <c r="G338" s="53" t="s">
        <v>552</v>
      </c>
      <c r="H338" s="56"/>
      <c r="I338" s="56" t="s">
        <v>696</v>
      </c>
    </row>
    <row r="339" spans="2:9" ht="22.05" customHeight="1" x14ac:dyDescent="0.3">
      <c r="B339" s="48" t="s">
        <v>553</v>
      </c>
      <c r="C339" s="49" t="s">
        <v>13</v>
      </c>
      <c r="D339" s="50"/>
      <c r="E339" s="51" t="s">
        <v>743</v>
      </c>
      <c r="F339" s="52"/>
      <c r="G339" s="53" t="s">
        <v>554</v>
      </c>
      <c r="H339" s="56"/>
      <c r="I339" s="56" t="s">
        <v>696</v>
      </c>
    </row>
    <row r="340" spans="2:9" ht="22.05" customHeight="1" x14ac:dyDescent="0.3">
      <c r="B340" s="48" t="s">
        <v>555</v>
      </c>
      <c r="C340" s="49" t="s">
        <v>13</v>
      </c>
      <c r="D340" s="50"/>
      <c r="E340" s="51" t="s">
        <v>743</v>
      </c>
      <c r="F340" s="52"/>
      <c r="G340" s="53" t="s">
        <v>556</v>
      </c>
      <c r="H340" s="56"/>
      <c r="I340" s="56" t="s">
        <v>696</v>
      </c>
    </row>
    <row r="341" spans="2:9" ht="22.05" customHeight="1" x14ac:dyDescent="0.3">
      <c r="B341" s="48" t="s">
        <v>557</v>
      </c>
      <c r="C341" s="49" t="s">
        <v>13</v>
      </c>
      <c r="D341" s="50"/>
      <c r="E341" s="51" t="s">
        <v>743</v>
      </c>
      <c r="F341" s="52"/>
      <c r="G341" s="53" t="s">
        <v>558</v>
      </c>
      <c r="H341" s="56"/>
      <c r="I341" s="56" t="s">
        <v>696</v>
      </c>
    </row>
    <row r="342" spans="2:9" ht="22.05" customHeight="1" x14ac:dyDescent="0.3">
      <c r="B342" s="48" t="s">
        <v>559</v>
      </c>
      <c r="C342" s="49" t="s">
        <v>13</v>
      </c>
      <c r="D342" s="50"/>
      <c r="E342" s="51" t="s">
        <v>743</v>
      </c>
      <c r="F342" s="52"/>
      <c r="G342" s="53" t="s">
        <v>560</v>
      </c>
      <c r="H342" s="56"/>
      <c r="I342" s="56" t="s">
        <v>696</v>
      </c>
    </row>
    <row r="343" spans="2:9" ht="22.05" customHeight="1" x14ac:dyDescent="0.3">
      <c r="B343" s="48" t="s">
        <v>561</v>
      </c>
      <c r="C343" s="49" t="s">
        <v>13</v>
      </c>
      <c r="D343" s="50"/>
      <c r="E343" s="51" t="s">
        <v>743</v>
      </c>
      <c r="F343" s="52"/>
      <c r="G343" s="53" t="s">
        <v>562</v>
      </c>
      <c r="H343" s="56"/>
      <c r="I343" s="56" t="s">
        <v>696</v>
      </c>
    </row>
    <row r="344" spans="2:9" ht="22.05" customHeight="1" x14ac:dyDescent="0.3">
      <c r="B344" s="48" t="s">
        <v>200</v>
      </c>
      <c r="C344" s="49" t="s">
        <v>13</v>
      </c>
      <c r="D344" s="50"/>
      <c r="E344" s="51" t="s">
        <v>743</v>
      </c>
      <c r="F344" s="52"/>
      <c r="G344" s="53" t="s">
        <v>201</v>
      </c>
      <c r="H344" s="56"/>
      <c r="I344" s="56" t="s">
        <v>696</v>
      </c>
    </row>
    <row r="345" spans="2:9" ht="22.05" customHeight="1" x14ac:dyDescent="0.3">
      <c r="B345" s="48" t="s">
        <v>202</v>
      </c>
      <c r="C345" s="49" t="s">
        <v>13</v>
      </c>
      <c r="D345" s="50"/>
      <c r="E345" s="51" t="s">
        <v>743</v>
      </c>
      <c r="F345" s="52"/>
      <c r="G345" s="53" t="s">
        <v>203</v>
      </c>
      <c r="H345" s="56"/>
      <c r="I345" s="56" t="s">
        <v>696</v>
      </c>
    </row>
    <row r="346" spans="2:9" ht="22.05" customHeight="1" x14ac:dyDescent="0.3">
      <c r="B346" s="48" t="s">
        <v>563</v>
      </c>
      <c r="C346" s="49" t="s">
        <v>13</v>
      </c>
      <c r="D346" s="50"/>
      <c r="E346" s="51" t="s">
        <v>743</v>
      </c>
      <c r="F346" s="52"/>
      <c r="G346" s="53" t="s">
        <v>564</v>
      </c>
      <c r="H346" s="56"/>
      <c r="I346" s="56" t="s">
        <v>696</v>
      </c>
    </row>
    <row r="347" spans="2:9" ht="22.05" customHeight="1" x14ac:dyDescent="0.3">
      <c r="B347" s="48" t="s">
        <v>565</v>
      </c>
      <c r="C347" s="49" t="s">
        <v>13</v>
      </c>
      <c r="D347" s="50"/>
      <c r="E347" s="51" t="s">
        <v>743</v>
      </c>
      <c r="F347" s="52"/>
      <c r="G347" s="53" t="s">
        <v>566</v>
      </c>
      <c r="H347" s="56"/>
      <c r="I347" s="56" t="s">
        <v>696</v>
      </c>
    </row>
    <row r="348" spans="2:9" ht="22.05" customHeight="1" x14ac:dyDescent="0.3">
      <c r="B348" s="48" t="s">
        <v>567</v>
      </c>
      <c r="C348" s="49" t="s">
        <v>13</v>
      </c>
      <c r="D348" s="50"/>
      <c r="E348" s="51" t="s">
        <v>743</v>
      </c>
      <c r="F348" s="52"/>
      <c r="G348" s="53" t="s">
        <v>568</v>
      </c>
      <c r="H348" s="56"/>
      <c r="I348" s="56" t="s">
        <v>696</v>
      </c>
    </row>
    <row r="349" spans="2:9" ht="22.05" customHeight="1" x14ac:dyDescent="0.3">
      <c r="B349" s="48" t="s">
        <v>569</v>
      </c>
      <c r="C349" s="49" t="s">
        <v>13</v>
      </c>
      <c r="D349" s="50"/>
      <c r="E349" s="51" t="s">
        <v>743</v>
      </c>
      <c r="F349" s="52"/>
      <c r="G349" s="53" t="s">
        <v>570</v>
      </c>
      <c r="H349" s="56"/>
      <c r="I349" s="56" t="s">
        <v>696</v>
      </c>
    </row>
    <row r="350" spans="2:9" ht="22.05" customHeight="1" x14ac:dyDescent="0.3">
      <c r="B350" s="48" t="s">
        <v>571</v>
      </c>
      <c r="C350" s="49" t="s">
        <v>13</v>
      </c>
      <c r="D350" s="50"/>
      <c r="E350" s="51" t="s">
        <v>743</v>
      </c>
      <c r="F350" s="52"/>
      <c r="G350" s="53" t="s">
        <v>572</v>
      </c>
      <c r="H350" s="56"/>
      <c r="I350" s="56" t="s">
        <v>696</v>
      </c>
    </row>
    <row r="351" spans="2:9" ht="22.05" customHeight="1" x14ac:dyDescent="0.3">
      <c r="B351" s="48" t="s">
        <v>573</v>
      </c>
      <c r="C351" s="49" t="s">
        <v>13</v>
      </c>
      <c r="D351" s="50"/>
      <c r="E351" s="51" t="s">
        <v>743</v>
      </c>
      <c r="F351" s="52"/>
      <c r="G351" s="53" t="s">
        <v>574</v>
      </c>
      <c r="H351" s="56"/>
      <c r="I351" s="56" t="s">
        <v>696</v>
      </c>
    </row>
    <row r="352" spans="2:9" ht="22.05" customHeight="1" x14ac:dyDescent="0.3">
      <c r="B352" s="48" t="s">
        <v>575</v>
      </c>
      <c r="C352" s="49" t="s">
        <v>13</v>
      </c>
      <c r="D352" s="50"/>
      <c r="E352" s="51" t="s">
        <v>743</v>
      </c>
      <c r="F352" s="52"/>
      <c r="G352" s="53" t="s">
        <v>576</v>
      </c>
      <c r="H352" s="56"/>
      <c r="I352" s="56" t="s">
        <v>696</v>
      </c>
    </row>
    <row r="353" spans="2:9" ht="22.05" customHeight="1" x14ac:dyDescent="0.3">
      <c r="B353" s="48" t="s">
        <v>577</v>
      </c>
      <c r="C353" s="49" t="s">
        <v>13</v>
      </c>
      <c r="D353" s="50"/>
      <c r="E353" s="51" t="s">
        <v>743</v>
      </c>
      <c r="F353" s="52"/>
      <c r="G353" s="53" t="s">
        <v>578</v>
      </c>
      <c r="H353" s="56"/>
      <c r="I353" s="56" t="s">
        <v>696</v>
      </c>
    </row>
    <row r="354" spans="2:9" ht="22.05" customHeight="1" x14ac:dyDescent="0.3">
      <c r="B354" s="48" t="s">
        <v>429</v>
      </c>
      <c r="C354" s="49" t="s">
        <v>13</v>
      </c>
      <c r="D354" s="50"/>
      <c r="E354" s="51" t="s">
        <v>743</v>
      </c>
      <c r="F354" s="52"/>
      <c r="G354" s="53" t="s">
        <v>430</v>
      </c>
      <c r="H354" s="56"/>
      <c r="I354" s="56" t="s">
        <v>696</v>
      </c>
    </row>
    <row r="355" spans="2:9" ht="6" customHeight="1" x14ac:dyDescent="0.3"/>
    <row r="356" spans="2:9" ht="25.95" customHeight="1" x14ac:dyDescent="0.3">
      <c r="B356" s="45" t="s">
        <v>579</v>
      </c>
      <c r="C356" s="44"/>
      <c r="D356" s="44"/>
      <c r="E356" s="46" t="s">
        <v>232</v>
      </c>
      <c r="F356" s="47"/>
      <c r="G356" s="44"/>
      <c r="H356" s="55" t="s">
        <v>580</v>
      </c>
      <c r="I356" s="55" t="s">
        <v>691</v>
      </c>
    </row>
    <row r="357" spans="2:9" ht="34.200000000000003" x14ac:dyDescent="0.3">
      <c r="B357" s="48" t="s">
        <v>697</v>
      </c>
      <c r="C357" s="75" t="s">
        <v>13</v>
      </c>
      <c r="D357" s="50"/>
      <c r="E357" s="51" t="str">
        <f>E356</f>
        <v>SVT + Physique-Chimie ou SVT + HGGSP</v>
      </c>
      <c r="F357" s="52"/>
      <c r="G357" s="53" t="s">
        <v>698</v>
      </c>
      <c r="H357" s="56"/>
      <c r="I357" s="56" t="str">
        <f>I356</f>
        <v>SVT+PC | SVT+HGGSP</v>
      </c>
    </row>
    <row r="358" spans="2:9" s="64" customFormat="1" ht="34.200000000000003" x14ac:dyDescent="0.3">
      <c r="B358" s="70" t="s">
        <v>69</v>
      </c>
      <c r="C358" s="76" t="s">
        <v>13</v>
      </c>
      <c r="D358" s="71"/>
      <c r="E358" s="72" t="str">
        <f>E356</f>
        <v>SVT + Physique-Chimie ou SVT + HGGSP</v>
      </c>
      <c r="F358" s="73"/>
      <c r="G358" s="74" t="s">
        <v>70</v>
      </c>
      <c r="H358" s="65"/>
      <c r="I358" s="65" t="str">
        <f>I356</f>
        <v>SVT+PC | SVT+HGGSP</v>
      </c>
    </row>
    <row r="359" spans="2:9" s="64" customFormat="1" ht="34.200000000000003" x14ac:dyDescent="0.3">
      <c r="B359" s="70" t="s">
        <v>439</v>
      </c>
      <c r="C359" s="76" t="s">
        <v>13</v>
      </c>
      <c r="D359" s="71"/>
      <c r="E359" s="72" t="str">
        <f>E356</f>
        <v>SVT + Physique-Chimie ou SVT + HGGSP</v>
      </c>
      <c r="F359" s="73"/>
      <c r="G359" s="74" t="s">
        <v>440</v>
      </c>
      <c r="H359" s="65"/>
      <c r="I359" s="65" t="str">
        <f>I356</f>
        <v>SVT+PC | SVT+HGGSP</v>
      </c>
    </row>
    <row r="360" spans="2:9" s="64" customFormat="1" ht="34.200000000000003" x14ac:dyDescent="0.3">
      <c r="B360" s="70" t="s">
        <v>699</v>
      </c>
      <c r="C360" s="76" t="s">
        <v>13</v>
      </c>
      <c r="D360" s="71"/>
      <c r="E360" s="72" t="str">
        <f>E356</f>
        <v>SVT + Physique-Chimie ou SVT + HGGSP</v>
      </c>
      <c r="F360" s="73"/>
      <c r="G360" s="74" t="s">
        <v>700</v>
      </c>
      <c r="H360" s="65"/>
      <c r="I360" s="65" t="str">
        <f>I356</f>
        <v>SVT+PC | SVT+HGGSP</v>
      </c>
    </row>
    <row r="361" spans="2:9" s="64" customFormat="1" ht="34.200000000000003" x14ac:dyDescent="0.3">
      <c r="B361" s="70" t="s">
        <v>701</v>
      </c>
      <c r="C361" s="76" t="s">
        <v>13</v>
      </c>
      <c r="D361" s="71"/>
      <c r="E361" s="72" t="str">
        <f>E356</f>
        <v>SVT + Physique-Chimie ou SVT + HGGSP</v>
      </c>
      <c r="F361" s="73"/>
      <c r="G361" s="74" t="s">
        <v>702</v>
      </c>
      <c r="H361" s="65"/>
      <c r="I361" s="65" t="str">
        <f>I356</f>
        <v>SVT+PC | SVT+HGGSP</v>
      </c>
    </row>
    <row r="362" spans="2:9" s="64" customFormat="1" ht="34.200000000000003" x14ac:dyDescent="0.3">
      <c r="B362" s="70" t="s">
        <v>712</v>
      </c>
      <c r="C362" s="76" t="s">
        <v>13</v>
      </c>
      <c r="D362" s="71"/>
      <c r="E362" s="72" t="str">
        <f>E356</f>
        <v>SVT + Physique-Chimie ou SVT + HGGSP</v>
      </c>
      <c r="F362" s="73"/>
      <c r="G362" s="74" t="s">
        <v>713</v>
      </c>
      <c r="H362" s="65"/>
      <c r="I362" s="65" t="str">
        <f>I356</f>
        <v>SVT+PC | SVT+HGGSP</v>
      </c>
    </row>
    <row r="363" spans="2:9" ht="45.6" x14ac:dyDescent="0.3">
      <c r="B363" s="48" t="s">
        <v>721</v>
      </c>
      <c r="C363" s="66" t="s">
        <v>13</v>
      </c>
      <c r="D363" s="50"/>
      <c r="E363" s="51" t="str">
        <f>E362</f>
        <v>SVT + Physique-Chimie ou SVT + HGGSP</v>
      </c>
      <c r="F363" s="52"/>
      <c r="G363" s="53" t="s">
        <v>723</v>
      </c>
      <c r="H363" s="56" t="s">
        <v>581</v>
      </c>
      <c r="I363" s="56" t="str">
        <f>I362</f>
        <v>SVT+PC | SVT+HGGSP</v>
      </c>
    </row>
    <row r="364" spans="2:9" ht="34.200000000000003" x14ac:dyDescent="0.3">
      <c r="B364" s="48" t="s">
        <v>726</v>
      </c>
      <c r="C364" s="66" t="s">
        <v>13</v>
      </c>
      <c r="D364" s="50"/>
      <c r="E364" s="51" t="str">
        <f>E356</f>
        <v>SVT + Physique-Chimie ou SVT + HGGSP</v>
      </c>
      <c r="F364" s="52"/>
      <c r="G364" s="53" t="s">
        <v>727</v>
      </c>
      <c r="H364" s="56"/>
      <c r="I364" s="56" t="str">
        <f>I356</f>
        <v>SVT+PC | SVT+HGGSP</v>
      </c>
    </row>
    <row r="365" spans="2:9" s="64" customFormat="1" ht="45.6" x14ac:dyDescent="0.3">
      <c r="B365" s="48" t="s">
        <v>728</v>
      </c>
      <c r="C365" s="66" t="s">
        <v>13</v>
      </c>
      <c r="D365" s="50"/>
      <c r="E365" s="51" t="str">
        <f>E356</f>
        <v>SVT + Physique-Chimie ou SVT + HGGSP</v>
      </c>
      <c r="F365" s="52"/>
      <c r="G365" s="53" t="s">
        <v>729</v>
      </c>
      <c r="H365" s="56"/>
      <c r="I365" s="56" t="str">
        <f>I356</f>
        <v>SVT+PC | SVT+HGGSP</v>
      </c>
    </row>
    <row r="366" spans="2:9" s="64" customFormat="1" ht="6" customHeight="1" x14ac:dyDescent="0.3"/>
    <row r="367" spans="2:9" ht="25.95" customHeight="1" thickBot="1" x14ac:dyDescent="0.35">
      <c r="B367" s="45" t="s">
        <v>582</v>
      </c>
      <c r="C367" s="44"/>
      <c r="D367" s="44"/>
      <c r="E367" s="46" t="s">
        <v>9</v>
      </c>
      <c r="F367" s="47" t="s">
        <v>10</v>
      </c>
      <c r="G367" s="44"/>
      <c r="H367" s="55" t="s">
        <v>583</v>
      </c>
      <c r="I367" s="55" t="s">
        <v>686</v>
      </c>
    </row>
    <row r="368" spans="2:9" ht="34.200000000000003" x14ac:dyDescent="0.3">
      <c r="B368" s="48" t="s">
        <v>730</v>
      </c>
      <c r="C368" s="66" t="s">
        <v>13</v>
      </c>
      <c r="D368" s="50"/>
      <c r="E368" s="51" t="str">
        <f>E367</f>
        <v>SVT + Physique-Chimie ou SVT + Maths</v>
      </c>
      <c r="F368" s="52"/>
      <c r="G368" s="53" t="s">
        <v>731</v>
      </c>
      <c r="H368" s="56"/>
      <c r="I368" s="56" t="str">
        <f>I367</f>
        <v>SVT+PC | SVT+Maths</v>
      </c>
    </row>
    <row r="369" spans="2:9" s="64" customFormat="1" ht="6" customHeight="1" x14ac:dyDescent="0.3"/>
    <row r="370" spans="2:9" ht="25.95" customHeight="1" thickBot="1" x14ac:dyDescent="0.35">
      <c r="B370" s="45" t="s">
        <v>584</v>
      </c>
      <c r="C370" s="44"/>
      <c r="D370" s="44"/>
      <c r="E370" s="46" t="s">
        <v>9</v>
      </c>
      <c r="F370" s="47" t="s">
        <v>10</v>
      </c>
      <c r="G370" s="44"/>
      <c r="H370" s="55" t="s">
        <v>585</v>
      </c>
      <c r="I370" s="55" t="s">
        <v>686</v>
      </c>
    </row>
    <row r="371" spans="2:9" ht="34.200000000000003" x14ac:dyDescent="0.3">
      <c r="B371" s="48" t="s">
        <v>732</v>
      </c>
      <c r="C371" s="66" t="s">
        <v>13</v>
      </c>
      <c r="D371" s="50"/>
      <c r="E371" s="51" t="str">
        <f>E370</f>
        <v>SVT + Physique-Chimie ou SVT + Maths</v>
      </c>
      <c r="F371" s="52" t="str">
        <f>F370</f>
        <v>Maths compl. (option Tle) si Maths non conservée</v>
      </c>
      <c r="G371" s="53" t="s">
        <v>733</v>
      </c>
      <c r="H371" s="56"/>
      <c r="I371" s="56" t="str">
        <f>I370</f>
        <v>SVT+PC | SVT+Maths</v>
      </c>
    </row>
    <row r="372" spans="2:9" s="64" customFormat="1" ht="6" customHeight="1" x14ac:dyDescent="0.3"/>
    <row r="373" spans="2:9" ht="25.95" customHeight="1" thickBot="1" x14ac:dyDescent="0.35">
      <c r="B373" s="45" t="s">
        <v>586</v>
      </c>
      <c r="C373" s="44"/>
      <c r="D373" s="44"/>
      <c r="E373" s="46" t="s">
        <v>98</v>
      </c>
      <c r="F373" s="47"/>
      <c r="G373" s="44"/>
      <c r="H373" s="55" t="s">
        <v>587</v>
      </c>
      <c r="I373" s="55" t="s">
        <v>687</v>
      </c>
    </row>
    <row r="374" spans="2:9" ht="34.200000000000003" x14ac:dyDescent="0.3">
      <c r="B374" s="48" t="s">
        <v>734</v>
      </c>
      <c r="C374" s="66" t="s">
        <v>13</v>
      </c>
      <c r="D374" s="50"/>
      <c r="E374" s="51" t="str">
        <f>E373</f>
        <v>SVT + HGGSP ou SVT + Physique-Chimie</v>
      </c>
      <c r="F374" s="52"/>
      <c r="G374" s="53" t="s">
        <v>735</v>
      </c>
      <c r="H374" s="56"/>
      <c r="I374" s="56" t="str">
        <f>I373</f>
        <v>SVT+HGGSP | SVT+PC</v>
      </c>
    </row>
    <row r="375" spans="2:9" s="64" customFormat="1" ht="6" customHeight="1" x14ac:dyDescent="0.3"/>
    <row r="376" spans="2:9" ht="25.95" customHeight="1" thickBot="1" x14ac:dyDescent="0.35">
      <c r="B376" s="45" t="s">
        <v>588</v>
      </c>
      <c r="C376" s="44"/>
      <c r="D376" s="44"/>
      <c r="E376" s="46" t="s">
        <v>98</v>
      </c>
      <c r="F376" s="47"/>
      <c r="G376" s="44"/>
      <c r="H376" s="55" t="s">
        <v>589</v>
      </c>
      <c r="I376" s="55" t="s">
        <v>687</v>
      </c>
    </row>
    <row r="377" spans="2:9" ht="34.200000000000003" x14ac:dyDescent="0.3">
      <c r="B377" s="48" t="s">
        <v>703</v>
      </c>
      <c r="C377" s="75" t="s">
        <v>13</v>
      </c>
      <c r="D377" s="50"/>
      <c r="E377" s="51" t="str">
        <f>E376</f>
        <v>SVT + HGGSP ou SVT + Physique-Chimie</v>
      </c>
      <c r="F377" s="52"/>
      <c r="G377" s="53" t="s">
        <v>704</v>
      </c>
      <c r="H377" s="56"/>
      <c r="I377" s="56" t="str">
        <f>I376</f>
        <v>SVT+HGGSP | SVT+PC</v>
      </c>
    </row>
    <row r="378" spans="2:9" s="64" customFormat="1" ht="34.200000000000003" x14ac:dyDescent="0.3">
      <c r="B378" s="48" t="s">
        <v>715</v>
      </c>
      <c r="C378" s="75" t="s">
        <v>13</v>
      </c>
      <c r="D378" s="50"/>
      <c r="E378" s="51" t="str">
        <f>E376</f>
        <v>SVT + HGGSP ou SVT + Physique-Chimie</v>
      </c>
      <c r="F378" s="52"/>
      <c r="G378" s="53" t="s">
        <v>716</v>
      </c>
      <c r="H378" s="56"/>
      <c r="I378" s="56" t="str">
        <f>I376</f>
        <v>SVT+HGGSP | SVT+PC</v>
      </c>
    </row>
    <row r="379" spans="2:9" s="64" customFormat="1" ht="34.200000000000003" x14ac:dyDescent="0.3">
      <c r="B379" s="48" t="s">
        <v>717</v>
      </c>
      <c r="C379" s="75" t="s">
        <v>13</v>
      </c>
      <c r="D379" s="50"/>
      <c r="E379" s="51" t="str">
        <f>E376</f>
        <v>SVT + HGGSP ou SVT + Physique-Chimie</v>
      </c>
      <c r="F379" s="52"/>
      <c r="G379" s="53" t="s">
        <v>718</v>
      </c>
      <c r="H379" s="56"/>
      <c r="I379" s="56" t="str">
        <f>I376</f>
        <v>SVT+HGGSP | SVT+PC</v>
      </c>
    </row>
    <row r="380" spans="2:9" s="64" customFormat="1" ht="6" customHeight="1" x14ac:dyDescent="0.3"/>
    <row r="381" spans="2:9" ht="30" customHeight="1" thickBot="1" x14ac:dyDescent="0.35">
      <c r="B381" s="45" t="s">
        <v>590</v>
      </c>
      <c r="C381" s="44"/>
      <c r="D381" s="44"/>
      <c r="E381" s="46" t="s">
        <v>744</v>
      </c>
      <c r="F381" s="47" t="s">
        <v>180</v>
      </c>
      <c r="G381" s="44"/>
      <c r="H381" s="55" t="s">
        <v>591</v>
      </c>
      <c r="I381" s="55" t="s">
        <v>747</v>
      </c>
    </row>
    <row r="382" spans="2:9" ht="57" x14ac:dyDescent="0.3">
      <c r="B382" s="48" t="s">
        <v>705</v>
      </c>
      <c r="C382" s="75" t="s">
        <v>13</v>
      </c>
      <c r="D382" s="50"/>
      <c r="E382" s="51" t="s">
        <v>744</v>
      </c>
      <c r="F382" s="52"/>
      <c r="G382" s="53" t="s">
        <v>706</v>
      </c>
      <c r="H382" s="56"/>
      <c r="I382" s="56" t="s">
        <v>747</v>
      </c>
    </row>
    <row r="383" spans="2:9" s="64" customFormat="1" ht="57" x14ac:dyDescent="0.3">
      <c r="B383" s="48" t="s">
        <v>712</v>
      </c>
      <c r="C383" s="75" t="s">
        <v>13</v>
      </c>
      <c r="D383" s="50"/>
      <c r="E383" s="51" t="s">
        <v>744</v>
      </c>
      <c r="F383" s="52"/>
      <c r="G383" s="53" t="s">
        <v>714</v>
      </c>
      <c r="H383" s="56"/>
      <c r="I383" s="56" t="s">
        <v>747</v>
      </c>
    </row>
    <row r="384" spans="2:9" s="64" customFormat="1" ht="57" x14ac:dyDescent="0.3">
      <c r="B384" s="48" t="s">
        <v>724</v>
      </c>
      <c r="C384" s="77" t="s">
        <v>13</v>
      </c>
      <c r="D384" s="50"/>
      <c r="E384" s="51" t="s">
        <v>744</v>
      </c>
      <c r="F384" s="52"/>
      <c r="G384" s="53" t="s">
        <v>725</v>
      </c>
      <c r="H384" s="56"/>
      <c r="I384" s="56" t="s">
        <v>747</v>
      </c>
    </row>
    <row r="385" spans="2:9" s="64" customFormat="1" ht="6" customHeight="1" x14ac:dyDescent="0.3"/>
    <row r="386" spans="2:9" ht="30" customHeight="1" thickBot="1" x14ac:dyDescent="0.35">
      <c r="B386" s="45" t="s">
        <v>707</v>
      </c>
      <c r="C386" s="44"/>
      <c r="D386" s="44"/>
      <c r="E386" s="46" t="s">
        <v>745</v>
      </c>
      <c r="F386" s="47" t="s">
        <v>180</v>
      </c>
      <c r="G386" s="44"/>
      <c r="H386" s="55" t="s">
        <v>592</v>
      </c>
      <c r="I386" s="55" t="s">
        <v>748</v>
      </c>
    </row>
    <row r="387" spans="2:9" ht="45.6" x14ac:dyDescent="0.3">
      <c r="B387" s="48" t="s">
        <v>705</v>
      </c>
      <c r="C387" s="75" t="s">
        <v>13</v>
      </c>
      <c r="D387" s="50"/>
      <c r="E387" s="51" t="s">
        <v>745</v>
      </c>
      <c r="F387" s="52" t="str">
        <f>F386</f>
        <v>DGEMC conseillée (option Tle)</v>
      </c>
      <c r="G387" s="53" t="s">
        <v>708</v>
      </c>
      <c r="H387" s="56"/>
      <c r="I387" s="56" t="s">
        <v>748</v>
      </c>
    </row>
    <row r="388" spans="2:9" s="64" customFormat="1" ht="45.6" x14ac:dyDescent="0.3">
      <c r="B388" s="48" t="s">
        <v>724</v>
      </c>
      <c r="C388" s="77" t="s">
        <v>13</v>
      </c>
      <c r="D388" s="50"/>
      <c r="E388" s="51" t="s">
        <v>745</v>
      </c>
      <c r="F388" s="52" t="str">
        <f>F386</f>
        <v>DGEMC conseillée (option Tle)</v>
      </c>
      <c r="G388" s="53" t="s">
        <v>725</v>
      </c>
      <c r="H388" s="56"/>
      <c r="I388" s="56" t="s">
        <v>748</v>
      </c>
    </row>
    <row r="389" spans="2:9" s="64" customFormat="1" ht="6" customHeight="1" x14ac:dyDescent="0.3"/>
    <row r="390" spans="2:9" ht="25.95" customHeight="1" thickBot="1" x14ac:dyDescent="0.35">
      <c r="B390" s="45" t="s">
        <v>593</v>
      </c>
      <c r="C390" s="44"/>
      <c r="D390" s="44"/>
      <c r="E390" s="46" t="s">
        <v>542</v>
      </c>
      <c r="F390" s="47"/>
      <c r="G390" s="44"/>
      <c r="H390" s="55" t="s">
        <v>594</v>
      </c>
      <c r="I390" s="55" t="s">
        <v>696</v>
      </c>
    </row>
    <row r="391" spans="2:9" ht="57" x14ac:dyDescent="0.3">
      <c r="B391" s="48" t="s">
        <v>738</v>
      </c>
      <c r="C391" s="66" t="s">
        <v>13</v>
      </c>
      <c r="D391" s="50"/>
      <c r="E391" s="51" t="str">
        <f>E390</f>
        <v>SVT + Physique-Chimie, SVT + Maths ou SVT + HGGSP</v>
      </c>
      <c r="F391" s="52"/>
      <c r="G391" s="53" t="s">
        <v>739</v>
      </c>
      <c r="H391" s="56"/>
      <c r="I391" s="56" t="str">
        <f>I390</f>
        <v>SVT+PC | SVT+Maths | SVT+HGGSP</v>
      </c>
    </row>
    <row r="392" spans="2:9" s="64" customFormat="1" ht="6" customHeight="1" x14ac:dyDescent="0.3"/>
    <row r="393" spans="2:9" ht="25.95" customHeight="1" thickBot="1" x14ac:dyDescent="0.35">
      <c r="B393" s="45" t="s">
        <v>595</v>
      </c>
      <c r="C393" s="44"/>
      <c r="D393" s="44"/>
      <c r="E393" s="46" t="s">
        <v>9</v>
      </c>
      <c r="F393" s="47"/>
      <c r="G393" s="44"/>
      <c r="H393" s="55" t="s">
        <v>596</v>
      </c>
      <c r="I393" s="55" t="s">
        <v>686</v>
      </c>
    </row>
    <row r="394" spans="2:9" ht="34.200000000000003" x14ac:dyDescent="0.3">
      <c r="B394" s="48" t="s">
        <v>740</v>
      </c>
      <c r="C394" s="66" t="s">
        <v>13</v>
      </c>
      <c r="D394" s="50"/>
      <c r="E394" s="51" t="str">
        <f>E393</f>
        <v>SVT + Physique-Chimie ou SVT + Maths</v>
      </c>
      <c r="F394" s="52"/>
      <c r="G394" s="53" t="s">
        <v>741</v>
      </c>
      <c r="H394" s="56"/>
      <c r="I394" s="56" t="str">
        <f>I393</f>
        <v>SVT+PC | SVT+Maths</v>
      </c>
    </row>
    <row r="395" spans="2:9" s="64" customFormat="1" ht="6" customHeight="1" x14ac:dyDescent="0.3"/>
    <row r="396" spans="2:9" ht="25.95" customHeight="1" thickBot="1" x14ac:dyDescent="0.35">
      <c r="B396" s="45" t="s">
        <v>597</v>
      </c>
      <c r="C396" s="44"/>
      <c r="D396" s="44"/>
      <c r="E396" s="46" t="s">
        <v>9</v>
      </c>
      <c r="F396" s="47"/>
      <c r="G396" s="44"/>
      <c r="H396" s="55" t="s">
        <v>598</v>
      </c>
      <c r="I396" s="55" t="s">
        <v>686</v>
      </c>
    </row>
    <row r="397" spans="2:9" s="24" customFormat="1" ht="34.200000000000003" x14ac:dyDescent="0.3">
      <c r="B397" s="48" t="s">
        <v>719</v>
      </c>
      <c r="C397" s="66" t="s">
        <v>13</v>
      </c>
      <c r="D397" s="50"/>
      <c r="E397" s="51" t="str">
        <f>E396</f>
        <v>SVT + Physique-Chimie ou SVT + Maths</v>
      </c>
      <c r="F397" s="52"/>
      <c r="G397" s="53" t="s">
        <v>720</v>
      </c>
      <c r="H397" s="56"/>
      <c r="I397" s="56" t="str">
        <f>I396</f>
        <v>SVT+PC | SVT+Maths</v>
      </c>
    </row>
    <row r="398" spans="2:9" s="64" customFormat="1" ht="6" customHeight="1" x14ac:dyDescent="0.3"/>
    <row r="399" spans="2:9" ht="46.05" customHeight="1" x14ac:dyDescent="0.3">
      <c r="B399" s="88" t="s">
        <v>599</v>
      </c>
      <c r="C399" s="87"/>
      <c r="D399" s="87"/>
      <c r="E399" s="87"/>
      <c r="F399" s="87"/>
      <c r="G399" s="87"/>
      <c r="H399" s="87"/>
    </row>
    <row r="400" spans="2:9" s="24" customFormat="1" ht="22.05" customHeight="1" x14ac:dyDescent="0.3"/>
    <row r="401" s="24" customFormat="1" ht="30" customHeight="1" x14ac:dyDescent="0.3"/>
    <row r="402" s="24" customFormat="1" ht="22.05" customHeight="1" x14ac:dyDescent="0.3"/>
    <row r="403" ht="6" customHeight="1" x14ac:dyDescent="0.3"/>
    <row r="404" ht="48" customHeight="1" x14ac:dyDescent="0.3"/>
    <row r="405" ht="22.05" customHeight="1" x14ac:dyDescent="0.3"/>
    <row r="406" ht="22.05" customHeight="1" x14ac:dyDescent="0.3"/>
    <row r="407" ht="22.05" customHeight="1" x14ac:dyDescent="0.3"/>
    <row r="408" ht="22.05" customHeight="1" x14ac:dyDescent="0.3"/>
    <row r="409" ht="22.05" customHeight="1" x14ac:dyDescent="0.3"/>
    <row r="410" ht="22.05" customHeight="1" x14ac:dyDescent="0.3"/>
    <row r="411" ht="6" customHeight="1" x14ac:dyDescent="0.3"/>
    <row r="412" ht="48" customHeight="1" x14ac:dyDescent="0.3"/>
    <row r="413" ht="22.05" customHeight="1" x14ac:dyDescent="0.3"/>
    <row r="414" ht="22.05" customHeight="1" x14ac:dyDescent="0.3"/>
    <row r="415" ht="22.05" customHeight="1" x14ac:dyDescent="0.3"/>
    <row r="416" ht="22.05" customHeight="1" x14ac:dyDescent="0.3"/>
    <row r="417" ht="22.05" customHeight="1" x14ac:dyDescent="0.3"/>
    <row r="418" ht="6" customHeight="1" x14ac:dyDescent="0.3"/>
    <row r="419" ht="48" customHeight="1" x14ac:dyDescent="0.3"/>
    <row r="420" ht="22.05" customHeight="1" x14ac:dyDescent="0.3"/>
    <row r="421" ht="22.05" customHeight="1" x14ac:dyDescent="0.3"/>
    <row r="422" ht="22.05" customHeight="1" x14ac:dyDescent="0.3"/>
    <row r="423" ht="22.05" customHeight="1" x14ac:dyDescent="0.3"/>
    <row r="424" ht="22.05" customHeight="1" x14ac:dyDescent="0.3"/>
    <row r="425" ht="6" customHeight="1" x14ac:dyDescent="0.3"/>
    <row r="426" ht="48" customHeight="1" x14ac:dyDescent="0.3"/>
    <row r="427" ht="22.05" customHeight="1" x14ac:dyDescent="0.3"/>
    <row r="428" ht="22.05" customHeight="1" x14ac:dyDescent="0.3"/>
    <row r="429" ht="22.05" customHeight="1" x14ac:dyDescent="0.3"/>
    <row r="430" ht="22.05" customHeight="1" x14ac:dyDescent="0.3"/>
    <row r="431" ht="22.05" customHeight="1" x14ac:dyDescent="0.3"/>
    <row r="432" ht="6" customHeight="1" x14ac:dyDescent="0.3"/>
    <row r="433" ht="48" customHeight="1" x14ac:dyDescent="0.3"/>
    <row r="434" ht="6" customHeight="1" x14ac:dyDescent="0.3"/>
    <row r="435" ht="48" customHeight="1" x14ac:dyDescent="0.3"/>
    <row r="436" ht="22.05" customHeight="1" x14ac:dyDescent="0.3"/>
    <row r="437" ht="22.05" customHeight="1" x14ac:dyDescent="0.3"/>
    <row r="438" ht="22.05" customHeight="1" x14ac:dyDescent="0.3"/>
    <row r="439" ht="22.05" customHeight="1" x14ac:dyDescent="0.3"/>
    <row r="440" ht="22.05" customHeight="1" x14ac:dyDescent="0.3"/>
    <row r="441" ht="6" customHeight="1" x14ac:dyDescent="0.3"/>
    <row r="442" ht="48" customHeight="1" x14ac:dyDescent="0.3"/>
    <row r="443" ht="22.05" customHeight="1" x14ac:dyDescent="0.3"/>
    <row r="444" ht="22.05" customHeight="1" x14ac:dyDescent="0.3"/>
    <row r="445" ht="22.05" customHeight="1" x14ac:dyDescent="0.3"/>
    <row r="446" ht="22.05" customHeight="1" x14ac:dyDescent="0.3"/>
    <row r="447" ht="22.05" customHeight="1" x14ac:dyDescent="0.3"/>
    <row r="448" ht="6" customHeight="1" x14ac:dyDescent="0.3"/>
    <row r="449" ht="48" customHeight="1" x14ac:dyDescent="0.3"/>
    <row r="450" ht="22.05" customHeight="1" x14ac:dyDescent="0.3"/>
    <row r="451" ht="22.05" customHeight="1" x14ac:dyDescent="0.3"/>
    <row r="452" ht="22.05" customHeight="1" x14ac:dyDescent="0.3"/>
    <row r="453" ht="22.05" customHeight="1" x14ac:dyDescent="0.3"/>
    <row r="454" ht="22.05" customHeight="1" x14ac:dyDescent="0.3"/>
    <row r="455" ht="6" customHeight="1" x14ac:dyDescent="0.3"/>
    <row r="456" ht="48" customHeight="1" x14ac:dyDescent="0.3"/>
    <row r="457" ht="22.05" customHeight="1" x14ac:dyDescent="0.3"/>
    <row r="458" ht="22.05" customHeight="1" x14ac:dyDescent="0.3"/>
    <row r="459" ht="22.05" customHeight="1" x14ac:dyDescent="0.3"/>
    <row r="460" ht="22.05" customHeight="1" x14ac:dyDescent="0.3"/>
    <row r="461" ht="22.05" customHeight="1" x14ac:dyDescent="0.3"/>
    <row r="462" ht="6" customHeight="1" x14ac:dyDescent="0.3"/>
    <row r="463" ht="48" customHeight="1" x14ac:dyDescent="0.3"/>
    <row r="464" ht="22.05" customHeight="1" x14ac:dyDescent="0.3"/>
    <row r="465" ht="22.05" customHeight="1" x14ac:dyDescent="0.3"/>
    <row r="466" ht="22.05" customHeight="1" x14ac:dyDescent="0.3"/>
    <row r="467" ht="22.05" customHeight="1" x14ac:dyDescent="0.3"/>
    <row r="468" ht="22.05" customHeight="1" x14ac:dyDescent="0.3"/>
    <row r="469" ht="18" customHeight="1" x14ac:dyDescent="0.3"/>
    <row r="470" ht="30" customHeight="1" x14ac:dyDescent="0.3"/>
    <row r="471" ht="18" customHeight="1" x14ac:dyDescent="0.3"/>
    <row r="472" ht="18" customHeight="1" x14ac:dyDescent="0.3"/>
    <row r="473" ht="18" customHeight="1" x14ac:dyDescent="0.3"/>
    <row r="474" ht="18" customHeight="1" x14ac:dyDescent="0.3"/>
    <row r="475" ht="18" customHeight="1" x14ac:dyDescent="0.3"/>
    <row r="476" ht="18" customHeight="1" x14ac:dyDescent="0.3"/>
    <row r="477" ht="18" customHeight="1" x14ac:dyDescent="0.3"/>
    <row r="478" ht="18" customHeight="1" x14ac:dyDescent="0.3"/>
    <row r="479" ht="18" customHeight="1" x14ac:dyDescent="0.3"/>
    <row r="480" ht="18" customHeight="1" x14ac:dyDescent="0.3"/>
    <row r="481" ht="18" customHeight="1" x14ac:dyDescent="0.3"/>
    <row r="482" ht="18" customHeight="1" x14ac:dyDescent="0.3"/>
    <row r="483" ht="18" customHeight="1" x14ac:dyDescent="0.3"/>
    <row r="484" ht="18" customHeight="1" x14ac:dyDescent="0.3"/>
    <row r="485" ht="18" customHeight="1" x14ac:dyDescent="0.3"/>
    <row r="486" ht="18" customHeight="1" x14ac:dyDescent="0.3"/>
    <row r="487" ht="18" customHeight="1" x14ac:dyDescent="0.3"/>
    <row r="488" ht="18" customHeight="1" x14ac:dyDescent="0.3"/>
    <row r="489" ht="18" customHeight="1" x14ac:dyDescent="0.3"/>
    <row r="490" ht="18" customHeight="1" x14ac:dyDescent="0.3"/>
    <row r="491" ht="18" customHeight="1" x14ac:dyDescent="0.3"/>
    <row r="492" ht="18" customHeight="1" x14ac:dyDescent="0.3"/>
    <row r="493" ht="18" customHeight="1" x14ac:dyDescent="0.3"/>
    <row r="494" ht="18" customHeight="1" x14ac:dyDescent="0.3"/>
    <row r="495" ht="18" customHeight="1" x14ac:dyDescent="0.3"/>
    <row r="496" ht="18" customHeight="1" x14ac:dyDescent="0.3"/>
    <row r="497" ht="18" customHeight="1" x14ac:dyDescent="0.3"/>
    <row r="498" ht="18" customHeight="1" x14ac:dyDescent="0.3"/>
    <row r="499" ht="18" customHeight="1" x14ac:dyDescent="0.3"/>
    <row r="500" ht="18" customHeight="1" x14ac:dyDescent="0.3"/>
    <row r="501" ht="18" customHeight="1" x14ac:dyDescent="0.3"/>
    <row r="502" ht="18" customHeight="1" x14ac:dyDescent="0.3"/>
    <row r="503" ht="18" customHeight="1" x14ac:dyDescent="0.3"/>
    <row r="504" ht="18" customHeight="1" x14ac:dyDescent="0.3"/>
    <row r="505" ht="18" customHeight="1" x14ac:dyDescent="0.3"/>
    <row r="506" ht="18" customHeight="1" x14ac:dyDescent="0.3"/>
    <row r="507" ht="18" customHeight="1" x14ac:dyDescent="0.3"/>
    <row r="508" ht="18" customHeight="1" x14ac:dyDescent="0.3"/>
    <row r="509" ht="18" customHeight="1" x14ac:dyDescent="0.3"/>
    <row r="510" ht="18" customHeight="1" x14ac:dyDescent="0.3"/>
    <row r="511" ht="18" customHeight="1" x14ac:dyDescent="0.3"/>
    <row r="512" ht="18" customHeight="1" x14ac:dyDescent="0.3"/>
    <row r="513" ht="18" customHeight="1" x14ac:dyDescent="0.3"/>
    <row r="514" ht="18" customHeight="1" x14ac:dyDescent="0.3"/>
    <row r="515" ht="18" customHeight="1" x14ac:dyDescent="0.3"/>
    <row r="516" ht="18" customHeight="1" x14ac:dyDescent="0.3"/>
    <row r="517" ht="18" customHeight="1" x14ac:dyDescent="0.3"/>
    <row r="518" ht="18" customHeight="1" x14ac:dyDescent="0.3"/>
    <row r="519" ht="18" customHeight="1" x14ac:dyDescent="0.3"/>
    <row r="520" ht="18" customHeight="1" x14ac:dyDescent="0.3"/>
    <row r="521" ht="18" customHeight="1" x14ac:dyDescent="0.3"/>
    <row r="522" ht="18" customHeight="1" x14ac:dyDescent="0.3"/>
    <row r="523" ht="18" customHeight="1" x14ac:dyDescent="0.3"/>
    <row r="524" ht="18" customHeight="1" x14ac:dyDescent="0.3"/>
    <row r="525" ht="18" customHeight="1" x14ac:dyDescent="0.3"/>
    <row r="526" ht="18" customHeight="1" x14ac:dyDescent="0.3"/>
    <row r="527" ht="18" customHeight="1" x14ac:dyDescent="0.3"/>
    <row r="528" ht="18" customHeight="1" x14ac:dyDescent="0.3"/>
    <row r="529" ht="18" customHeight="1" x14ac:dyDescent="0.3"/>
    <row r="530" ht="18" customHeight="1" x14ac:dyDescent="0.3"/>
    <row r="531" ht="18" customHeight="1" x14ac:dyDescent="0.3"/>
    <row r="532" ht="18" customHeight="1" x14ac:dyDescent="0.3"/>
    <row r="533" ht="18" customHeight="1" x14ac:dyDescent="0.3"/>
    <row r="534" ht="18" customHeight="1" x14ac:dyDescent="0.3"/>
    <row r="535" ht="18" customHeight="1" x14ac:dyDescent="0.3"/>
    <row r="536" ht="18" customHeight="1" x14ac:dyDescent="0.3"/>
    <row r="537" ht="18" customHeight="1" x14ac:dyDescent="0.3"/>
    <row r="538" ht="18" customHeight="1" x14ac:dyDescent="0.3"/>
    <row r="539" ht="18" customHeight="1" x14ac:dyDescent="0.3"/>
    <row r="540" ht="18" customHeight="1" x14ac:dyDescent="0.3"/>
    <row r="541" ht="18" customHeight="1" x14ac:dyDescent="0.3"/>
    <row r="542" ht="18" customHeight="1" x14ac:dyDescent="0.3"/>
    <row r="543" ht="18" customHeight="1" x14ac:dyDescent="0.3"/>
    <row r="544" ht="18" customHeight="1" x14ac:dyDescent="0.3"/>
    <row r="545" ht="18" customHeight="1" x14ac:dyDescent="0.3"/>
    <row r="546" ht="18" customHeight="1" x14ac:dyDescent="0.3"/>
    <row r="547" ht="18" customHeight="1" x14ac:dyDescent="0.3"/>
    <row r="548" ht="18" customHeight="1" x14ac:dyDescent="0.3"/>
    <row r="549" ht="18" customHeight="1" x14ac:dyDescent="0.3"/>
    <row r="550" ht="18" customHeight="1" x14ac:dyDescent="0.3"/>
    <row r="551" ht="18" customHeight="1" x14ac:dyDescent="0.3"/>
    <row r="552" ht="18" customHeight="1" x14ac:dyDescent="0.3"/>
    <row r="553" ht="18" customHeight="1" x14ac:dyDescent="0.3"/>
    <row r="554" ht="18" customHeight="1" x14ac:dyDescent="0.3"/>
    <row r="555" ht="18" customHeight="1" x14ac:dyDescent="0.3"/>
    <row r="556" ht="18" customHeight="1" x14ac:dyDescent="0.3"/>
    <row r="557" ht="18" customHeight="1" x14ac:dyDescent="0.3"/>
    <row r="558" ht="18" customHeight="1" x14ac:dyDescent="0.3"/>
    <row r="559" ht="18" customHeight="1" x14ac:dyDescent="0.3"/>
    <row r="560" ht="18" customHeight="1" x14ac:dyDescent="0.3"/>
    <row r="561" ht="18" customHeight="1" x14ac:dyDescent="0.3"/>
    <row r="562" ht="18" customHeight="1" x14ac:dyDescent="0.3"/>
    <row r="563" ht="18" customHeight="1" x14ac:dyDescent="0.3"/>
    <row r="564" ht="18" customHeight="1" x14ac:dyDescent="0.3"/>
    <row r="565" ht="18" customHeight="1" x14ac:dyDescent="0.3"/>
    <row r="566" ht="18" customHeight="1" x14ac:dyDescent="0.3"/>
    <row r="567" ht="18" customHeight="1" x14ac:dyDescent="0.3"/>
    <row r="568" ht="18" customHeight="1" x14ac:dyDescent="0.3"/>
    <row r="569" ht="18" customHeight="1" x14ac:dyDescent="0.3"/>
    <row r="570" ht="18" customHeight="1" x14ac:dyDescent="0.3"/>
    <row r="571" ht="18" customHeight="1" x14ac:dyDescent="0.3"/>
    <row r="572" ht="18" customHeight="1" x14ac:dyDescent="0.3"/>
    <row r="573" ht="18" customHeight="1" x14ac:dyDescent="0.3"/>
    <row r="574" ht="18" customHeight="1" x14ac:dyDescent="0.3"/>
    <row r="575" ht="18" customHeight="1" x14ac:dyDescent="0.3"/>
    <row r="576" ht="18" customHeight="1" x14ac:dyDescent="0.3"/>
    <row r="577" ht="18" customHeight="1" x14ac:dyDescent="0.3"/>
    <row r="578" ht="18" customHeight="1" x14ac:dyDescent="0.3"/>
    <row r="579" ht="18" customHeight="1" x14ac:dyDescent="0.3"/>
    <row r="580" ht="18" customHeight="1" x14ac:dyDescent="0.3"/>
    <row r="581" ht="18" customHeight="1" x14ac:dyDescent="0.3"/>
    <row r="582" ht="18" customHeight="1" x14ac:dyDescent="0.3"/>
    <row r="583" ht="18" customHeight="1" x14ac:dyDescent="0.3"/>
    <row r="584" ht="18" customHeight="1" x14ac:dyDescent="0.3"/>
    <row r="585" ht="18" customHeight="1" x14ac:dyDescent="0.3"/>
    <row r="586" ht="18" customHeight="1" x14ac:dyDescent="0.3"/>
    <row r="587" ht="18" customHeight="1" x14ac:dyDescent="0.3"/>
    <row r="588" ht="18" customHeight="1" x14ac:dyDescent="0.3"/>
    <row r="589" ht="18" customHeight="1" x14ac:dyDescent="0.3"/>
    <row r="590" ht="18" customHeight="1" x14ac:dyDescent="0.3"/>
    <row r="591" ht="18" customHeight="1" x14ac:dyDescent="0.3"/>
    <row r="592" ht="18" customHeight="1" x14ac:dyDescent="0.3"/>
    <row r="593" ht="18" customHeight="1" x14ac:dyDescent="0.3"/>
    <row r="594" ht="18" customHeight="1" x14ac:dyDescent="0.3"/>
    <row r="595" ht="18" customHeight="1" x14ac:dyDescent="0.3"/>
    <row r="596" ht="18" customHeight="1" x14ac:dyDescent="0.3"/>
    <row r="597" ht="18" customHeight="1" x14ac:dyDescent="0.3"/>
    <row r="598" ht="18" customHeight="1" x14ac:dyDescent="0.3"/>
    <row r="599" ht="18" customHeight="1" x14ac:dyDescent="0.3"/>
    <row r="600" ht="18" customHeight="1" x14ac:dyDescent="0.3"/>
    <row r="601" ht="18" customHeight="1" x14ac:dyDescent="0.3"/>
    <row r="602" ht="18" customHeight="1" x14ac:dyDescent="0.3"/>
    <row r="603" ht="18" customHeight="1" x14ac:dyDescent="0.3"/>
    <row r="604" ht="18" customHeight="1" x14ac:dyDescent="0.3"/>
    <row r="605" ht="18" customHeight="1" x14ac:dyDescent="0.3"/>
    <row r="606" ht="18" customHeight="1" x14ac:dyDescent="0.3"/>
    <row r="607" ht="18" customHeight="1" x14ac:dyDescent="0.3"/>
    <row r="608" ht="18" customHeight="1" x14ac:dyDescent="0.3"/>
    <row r="609" ht="18" customHeight="1" x14ac:dyDescent="0.3"/>
    <row r="610" ht="18" customHeight="1" x14ac:dyDescent="0.3"/>
    <row r="611" ht="18" customHeight="1" x14ac:dyDescent="0.3"/>
    <row r="612" ht="18" customHeight="1" x14ac:dyDescent="0.3"/>
    <row r="613" ht="18" customHeight="1" x14ac:dyDescent="0.3"/>
    <row r="614" ht="18" customHeight="1" x14ac:dyDescent="0.3"/>
    <row r="615" ht="18" customHeight="1" x14ac:dyDescent="0.3"/>
    <row r="616" ht="18" customHeight="1" x14ac:dyDescent="0.3"/>
    <row r="617" ht="18" customHeight="1" x14ac:dyDescent="0.3"/>
    <row r="618" ht="18" customHeight="1" x14ac:dyDescent="0.3"/>
    <row r="619" ht="18" customHeight="1" x14ac:dyDescent="0.3"/>
    <row r="620" ht="18" customHeight="1" x14ac:dyDescent="0.3"/>
    <row r="621" ht="18" customHeight="1" x14ac:dyDescent="0.3"/>
    <row r="622" ht="18" customHeight="1" x14ac:dyDescent="0.3"/>
    <row r="623" ht="18" customHeight="1" x14ac:dyDescent="0.3"/>
    <row r="624" ht="18" customHeight="1" x14ac:dyDescent="0.3"/>
    <row r="625" ht="18" customHeight="1" x14ac:dyDescent="0.3"/>
    <row r="626" ht="18" customHeight="1" x14ac:dyDescent="0.3"/>
    <row r="627" ht="18" customHeight="1" x14ac:dyDescent="0.3"/>
    <row r="628" ht="18" customHeight="1" x14ac:dyDescent="0.3"/>
    <row r="629" ht="18" customHeight="1" x14ac:dyDescent="0.3"/>
    <row r="630" ht="18" customHeight="1" x14ac:dyDescent="0.3"/>
    <row r="631" ht="18" customHeight="1" x14ac:dyDescent="0.3"/>
    <row r="632" ht="18" customHeight="1" x14ac:dyDescent="0.3"/>
    <row r="633" ht="18" customHeight="1" x14ac:dyDescent="0.3"/>
    <row r="634" ht="18" customHeight="1" x14ac:dyDescent="0.3"/>
    <row r="635" ht="18" customHeight="1" x14ac:dyDescent="0.3"/>
    <row r="636" ht="18" customHeight="1" x14ac:dyDescent="0.3"/>
    <row r="637" ht="18" customHeight="1" x14ac:dyDescent="0.3"/>
    <row r="638" ht="18" customHeight="1" x14ac:dyDescent="0.3"/>
    <row r="639" ht="18" customHeight="1" x14ac:dyDescent="0.3"/>
    <row r="640" ht="18" customHeight="1" x14ac:dyDescent="0.3"/>
    <row r="641" ht="18" customHeight="1" x14ac:dyDescent="0.3"/>
    <row r="642" ht="18" customHeight="1" x14ac:dyDescent="0.3"/>
    <row r="643" ht="18" customHeight="1" x14ac:dyDescent="0.3"/>
    <row r="644" ht="18" customHeight="1" x14ac:dyDescent="0.3"/>
    <row r="645" ht="18" customHeight="1" x14ac:dyDescent="0.3"/>
    <row r="646" ht="18" customHeight="1" x14ac:dyDescent="0.3"/>
    <row r="647" ht="18" customHeight="1" x14ac:dyDescent="0.3"/>
    <row r="648" ht="18" customHeight="1" x14ac:dyDescent="0.3"/>
    <row r="649" ht="18" customHeight="1" x14ac:dyDescent="0.3"/>
    <row r="650" ht="18" customHeight="1" x14ac:dyDescent="0.3"/>
    <row r="651" ht="18" customHeight="1" x14ac:dyDescent="0.3"/>
    <row r="652" ht="18" customHeight="1" x14ac:dyDescent="0.3"/>
    <row r="653" ht="18" customHeight="1" x14ac:dyDescent="0.3"/>
    <row r="654" ht="18" customHeight="1" x14ac:dyDescent="0.3"/>
    <row r="655" ht="18" customHeight="1" x14ac:dyDescent="0.3"/>
    <row r="656" ht="18" customHeight="1" x14ac:dyDescent="0.3"/>
    <row r="657" ht="18" customHeight="1" x14ac:dyDescent="0.3"/>
    <row r="658" ht="18" customHeight="1" x14ac:dyDescent="0.3"/>
    <row r="659" ht="18" customHeight="1" x14ac:dyDescent="0.3"/>
    <row r="660" ht="18" customHeight="1" x14ac:dyDescent="0.3"/>
    <row r="661" ht="18" customHeight="1" x14ac:dyDescent="0.3"/>
    <row r="662" ht="18" customHeight="1" x14ac:dyDescent="0.3"/>
    <row r="663" ht="18" customHeight="1" x14ac:dyDescent="0.3"/>
    <row r="664" ht="18" customHeight="1" x14ac:dyDescent="0.3"/>
    <row r="665" ht="18" customHeight="1" x14ac:dyDescent="0.3"/>
    <row r="666" ht="18" customHeight="1" x14ac:dyDescent="0.3"/>
    <row r="667" ht="18" customHeight="1" x14ac:dyDescent="0.3"/>
    <row r="668" ht="18" customHeight="1" x14ac:dyDescent="0.3"/>
    <row r="669" ht="18" customHeight="1" x14ac:dyDescent="0.3"/>
    <row r="670" ht="18" customHeight="1" x14ac:dyDescent="0.3"/>
    <row r="671" ht="18" customHeight="1" x14ac:dyDescent="0.3"/>
    <row r="672" ht="18" customHeight="1" x14ac:dyDescent="0.3"/>
    <row r="673" ht="18" customHeight="1" x14ac:dyDescent="0.3"/>
    <row r="674" ht="18" customHeight="1" x14ac:dyDescent="0.3"/>
    <row r="675" ht="18" customHeight="1" x14ac:dyDescent="0.3"/>
    <row r="676" ht="18" customHeight="1" x14ac:dyDescent="0.3"/>
    <row r="677" ht="18" customHeight="1" x14ac:dyDescent="0.3"/>
    <row r="678" ht="18" customHeight="1" x14ac:dyDescent="0.3"/>
    <row r="679" ht="18" customHeight="1" x14ac:dyDescent="0.3"/>
    <row r="680" ht="18" customHeight="1" x14ac:dyDescent="0.3"/>
    <row r="681" ht="18" customHeight="1" x14ac:dyDescent="0.3"/>
    <row r="682" ht="18" customHeight="1" x14ac:dyDescent="0.3"/>
    <row r="683" ht="18" customHeight="1" x14ac:dyDescent="0.3"/>
    <row r="684" ht="18" customHeight="1" x14ac:dyDescent="0.3"/>
    <row r="685" ht="18" customHeight="1" x14ac:dyDescent="0.3"/>
    <row r="686" ht="18" customHeight="1" x14ac:dyDescent="0.3"/>
    <row r="687" ht="18" customHeight="1" x14ac:dyDescent="0.3"/>
    <row r="688" ht="18" customHeight="1" x14ac:dyDescent="0.3"/>
    <row r="689" ht="18" customHeight="1" x14ac:dyDescent="0.3"/>
    <row r="690" ht="18" customHeight="1" x14ac:dyDescent="0.3"/>
    <row r="691" ht="18" customHeight="1" x14ac:dyDescent="0.3"/>
    <row r="692" ht="18" customHeight="1" x14ac:dyDescent="0.3"/>
    <row r="693" ht="18" customHeight="1" x14ac:dyDescent="0.3"/>
    <row r="694" ht="18" customHeight="1" x14ac:dyDescent="0.3"/>
    <row r="695" ht="18" customHeight="1" x14ac:dyDescent="0.3"/>
    <row r="696" ht="18" customHeight="1" x14ac:dyDescent="0.3"/>
    <row r="697" ht="18" customHeight="1" x14ac:dyDescent="0.3"/>
    <row r="698" ht="18" customHeight="1" x14ac:dyDescent="0.3"/>
    <row r="699" ht="18" customHeight="1" x14ac:dyDescent="0.3"/>
    <row r="700" ht="18" customHeight="1" x14ac:dyDescent="0.3"/>
    <row r="701" ht="18" customHeight="1" x14ac:dyDescent="0.3"/>
    <row r="702" ht="18" customHeight="1" x14ac:dyDescent="0.3"/>
    <row r="703" ht="18" customHeight="1" x14ac:dyDescent="0.3"/>
    <row r="704" ht="18" customHeight="1" x14ac:dyDescent="0.3"/>
    <row r="705" ht="18" customHeight="1" x14ac:dyDescent="0.3"/>
    <row r="706" ht="18" customHeight="1" x14ac:dyDescent="0.3"/>
    <row r="707" ht="18" customHeight="1" x14ac:dyDescent="0.3"/>
    <row r="708" ht="18" customHeight="1" x14ac:dyDescent="0.3"/>
    <row r="709" ht="18" customHeight="1" x14ac:dyDescent="0.3"/>
    <row r="710" ht="18" customHeight="1" x14ac:dyDescent="0.3"/>
    <row r="711" ht="18" customHeight="1" x14ac:dyDescent="0.3"/>
    <row r="712" ht="18" customHeight="1" x14ac:dyDescent="0.3"/>
    <row r="713" ht="18" customHeight="1" x14ac:dyDescent="0.3"/>
    <row r="714" ht="18" customHeight="1" x14ac:dyDescent="0.3"/>
    <row r="715" ht="18" customHeight="1" x14ac:dyDescent="0.3"/>
    <row r="716" ht="18" customHeight="1" x14ac:dyDescent="0.3"/>
    <row r="717" ht="18" customHeight="1" x14ac:dyDescent="0.3"/>
    <row r="718" ht="18" customHeight="1" x14ac:dyDescent="0.3"/>
    <row r="719" ht="18" customHeight="1" x14ac:dyDescent="0.3"/>
    <row r="720" ht="18" customHeight="1" x14ac:dyDescent="0.3"/>
    <row r="721" ht="18" customHeight="1" x14ac:dyDescent="0.3"/>
    <row r="722" ht="18" customHeight="1" x14ac:dyDescent="0.3"/>
    <row r="723" ht="18" customHeight="1" x14ac:dyDescent="0.3"/>
    <row r="724" ht="18" customHeight="1" x14ac:dyDescent="0.3"/>
    <row r="725" ht="18" customHeight="1" x14ac:dyDescent="0.3"/>
    <row r="726" ht="18" customHeight="1" x14ac:dyDescent="0.3"/>
    <row r="727" ht="18" customHeight="1" x14ac:dyDescent="0.3"/>
    <row r="728" ht="18" customHeight="1" x14ac:dyDescent="0.3"/>
    <row r="729" ht="18" customHeight="1" x14ac:dyDescent="0.3"/>
    <row r="730" ht="18" customHeight="1" x14ac:dyDescent="0.3"/>
    <row r="731" ht="18" customHeight="1" x14ac:dyDescent="0.3"/>
    <row r="732" ht="18" customHeight="1" x14ac:dyDescent="0.3"/>
    <row r="733" ht="18" customHeight="1" x14ac:dyDescent="0.3"/>
    <row r="734" ht="18" customHeight="1" x14ac:dyDescent="0.3"/>
    <row r="735" ht="18" customHeight="1" x14ac:dyDescent="0.3"/>
    <row r="736" ht="18" customHeight="1" x14ac:dyDescent="0.3"/>
    <row r="737" ht="18" customHeight="1" x14ac:dyDescent="0.3"/>
    <row r="738" ht="18" customHeight="1" x14ac:dyDescent="0.3"/>
    <row r="739" ht="18" customHeight="1" x14ac:dyDescent="0.3"/>
    <row r="740" ht="18" customHeight="1" x14ac:dyDescent="0.3"/>
    <row r="741" ht="18" customHeight="1" x14ac:dyDescent="0.3"/>
    <row r="742" ht="18" customHeight="1" x14ac:dyDescent="0.3"/>
    <row r="743" ht="18" customHeight="1" x14ac:dyDescent="0.3"/>
    <row r="744" ht="18" customHeight="1" x14ac:dyDescent="0.3"/>
    <row r="745" ht="18" customHeight="1" x14ac:dyDescent="0.3"/>
    <row r="746" ht="18" customHeight="1" x14ac:dyDescent="0.3"/>
    <row r="747" ht="18" customHeight="1" x14ac:dyDescent="0.3"/>
    <row r="748" ht="18" customHeight="1" x14ac:dyDescent="0.3"/>
    <row r="749" ht="18" customHeight="1" x14ac:dyDescent="0.3"/>
    <row r="750" ht="18" customHeight="1" x14ac:dyDescent="0.3"/>
    <row r="751" ht="18" customHeight="1" x14ac:dyDescent="0.3"/>
    <row r="752" ht="18" customHeight="1" x14ac:dyDescent="0.3"/>
    <row r="753" ht="18" customHeight="1" x14ac:dyDescent="0.3"/>
    <row r="754" ht="18" customHeight="1" x14ac:dyDescent="0.3"/>
    <row r="755" ht="18" customHeight="1" x14ac:dyDescent="0.3"/>
    <row r="756" ht="18" customHeight="1" x14ac:dyDescent="0.3"/>
    <row r="757" ht="18" customHeight="1" x14ac:dyDescent="0.3"/>
    <row r="758" ht="18" customHeight="1" x14ac:dyDescent="0.3"/>
    <row r="759" ht="18" customHeight="1" x14ac:dyDescent="0.3"/>
    <row r="760" ht="18" customHeight="1" x14ac:dyDescent="0.3"/>
    <row r="761" ht="18" customHeight="1" x14ac:dyDescent="0.3"/>
    <row r="762" ht="18" customHeight="1" x14ac:dyDescent="0.3"/>
    <row r="763" ht="18" customHeight="1" x14ac:dyDescent="0.3"/>
    <row r="764" ht="18" customHeight="1" x14ac:dyDescent="0.3"/>
    <row r="765" ht="18" customHeight="1" x14ac:dyDescent="0.3"/>
    <row r="766" ht="18" customHeight="1" x14ac:dyDescent="0.3"/>
    <row r="767" ht="18" customHeight="1" x14ac:dyDescent="0.3"/>
    <row r="768" ht="18" customHeight="1" x14ac:dyDescent="0.3"/>
    <row r="769" ht="18" customHeight="1" x14ac:dyDescent="0.3"/>
    <row r="770" ht="18" customHeight="1" x14ac:dyDescent="0.3"/>
    <row r="771" ht="18" customHeight="1" x14ac:dyDescent="0.3"/>
    <row r="772" ht="18" customHeight="1" x14ac:dyDescent="0.3"/>
    <row r="773" ht="18" customHeight="1" x14ac:dyDescent="0.3"/>
    <row r="774" ht="18" customHeight="1" x14ac:dyDescent="0.3"/>
    <row r="775" ht="18" customHeight="1" x14ac:dyDescent="0.3"/>
    <row r="776" ht="18" customHeight="1" x14ac:dyDescent="0.3"/>
    <row r="777" ht="18" customHeight="1" x14ac:dyDescent="0.3"/>
    <row r="778" ht="18" customHeight="1" x14ac:dyDescent="0.3"/>
    <row r="779" ht="18" customHeight="1" x14ac:dyDescent="0.3"/>
    <row r="780" ht="18" customHeight="1" x14ac:dyDescent="0.3"/>
    <row r="781" ht="18" customHeight="1" x14ac:dyDescent="0.3"/>
    <row r="782" ht="18" customHeight="1" x14ac:dyDescent="0.3"/>
    <row r="783" ht="18" customHeight="1" x14ac:dyDescent="0.3"/>
    <row r="784" ht="18" customHeight="1" x14ac:dyDescent="0.3"/>
    <row r="785" ht="18" customHeight="1" x14ac:dyDescent="0.3"/>
    <row r="786" ht="18" customHeight="1" x14ac:dyDescent="0.3"/>
    <row r="787" ht="18" customHeight="1" x14ac:dyDescent="0.3"/>
    <row r="788" ht="18" customHeight="1" x14ac:dyDescent="0.3"/>
    <row r="789" ht="18" customHeight="1" x14ac:dyDescent="0.3"/>
    <row r="790" ht="18" customHeight="1" x14ac:dyDescent="0.3"/>
    <row r="791" ht="18" customHeight="1" x14ac:dyDescent="0.3"/>
    <row r="792" ht="18" customHeight="1" x14ac:dyDescent="0.3"/>
    <row r="793" ht="18" customHeight="1" x14ac:dyDescent="0.3"/>
    <row r="794" ht="18" customHeight="1" x14ac:dyDescent="0.3"/>
    <row r="795" ht="18" customHeight="1" x14ac:dyDescent="0.3"/>
    <row r="796" ht="18" customHeight="1" x14ac:dyDescent="0.3"/>
    <row r="797" ht="18" customHeight="1" x14ac:dyDescent="0.3"/>
    <row r="798" ht="18" customHeight="1" x14ac:dyDescent="0.3"/>
    <row r="799" ht="18" customHeight="1" x14ac:dyDescent="0.3"/>
    <row r="800" ht="18" customHeight="1" x14ac:dyDescent="0.3"/>
    <row r="801" ht="18" customHeight="1" x14ac:dyDescent="0.3"/>
    <row r="802" ht="18" customHeight="1" x14ac:dyDescent="0.3"/>
    <row r="803" ht="18" customHeight="1" x14ac:dyDescent="0.3"/>
    <row r="804" ht="18" customHeight="1" x14ac:dyDescent="0.3"/>
    <row r="805" ht="18" customHeight="1" x14ac:dyDescent="0.3"/>
    <row r="806" ht="18" customHeight="1" x14ac:dyDescent="0.3"/>
    <row r="807" ht="18" customHeight="1" x14ac:dyDescent="0.3"/>
    <row r="808" ht="18" customHeight="1" x14ac:dyDescent="0.3"/>
    <row r="809" ht="18" customHeight="1" x14ac:dyDescent="0.3"/>
    <row r="810" ht="18" customHeight="1" x14ac:dyDescent="0.3"/>
    <row r="811" ht="18" customHeight="1" x14ac:dyDescent="0.3"/>
    <row r="812" ht="18" customHeight="1" x14ac:dyDescent="0.3"/>
    <row r="813" ht="18" customHeight="1" x14ac:dyDescent="0.3"/>
    <row r="814" ht="18" customHeight="1" x14ac:dyDescent="0.3"/>
    <row r="815" ht="18" customHeight="1" x14ac:dyDescent="0.3"/>
    <row r="816" ht="18" customHeight="1" x14ac:dyDescent="0.3"/>
    <row r="817" ht="18" customHeight="1" x14ac:dyDescent="0.3"/>
    <row r="818" ht="18" customHeight="1" x14ac:dyDescent="0.3"/>
    <row r="819" ht="18" customHeight="1" x14ac:dyDescent="0.3"/>
    <row r="820" ht="18" customHeight="1" x14ac:dyDescent="0.3"/>
    <row r="821" ht="18" customHeight="1" x14ac:dyDescent="0.3"/>
    <row r="822" ht="18" customHeight="1" x14ac:dyDescent="0.3"/>
    <row r="823" ht="18" customHeight="1" x14ac:dyDescent="0.3"/>
    <row r="824" ht="18" customHeight="1" x14ac:dyDescent="0.3"/>
    <row r="825" ht="18" customHeight="1" x14ac:dyDescent="0.3"/>
    <row r="826" ht="18" customHeight="1" x14ac:dyDescent="0.3"/>
    <row r="827" ht="18" customHeight="1" x14ac:dyDescent="0.3"/>
    <row r="828" ht="18" customHeight="1" x14ac:dyDescent="0.3"/>
    <row r="829" ht="18" customHeight="1" x14ac:dyDescent="0.3"/>
    <row r="830" ht="18" customHeight="1" x14ac:dyDescent="0.3"/>
    <row r="831" ht="18" customHeight="1" x14ac:dyDescent="0.3"/>
    <row r="832" ht="18" customHeight="1" x14ac:dyDescent="0.3"/>
    <row r="833" ht="18" customHeight="1" x14ac:dyDescent="0.3"/>
    <row r="834" ht="18" customHeight="1" x14ac:dyDescent="0.3"/>
    <row r="835" ht="18" customHeight="1" x14ac:dyDescent="0.3"/>
    <row r="836" ht="18" customHeight="1" x14ac:dyDescent="0.3"/>
    <row r="837" ht="18" customHeight="1" x14ac:dyDescent="0.3"/>
    <row r="838" ht="18" customHeight="1" x14ac:dyDescent="0.3"/>
    <row r="839" ht="18" customHeight="1" x14ac:dyDescent="0.3"/>
    <row r="840" ht="18" customHeight="1" x14ac:dyDescent="0.3"/>
    <row r="841" ht="18" customHeight="1" x14ac:dyDescent="0.3"/>
    <row r="842" ht="18" customHeight="1" x14ac:dyDescent="0.3"/>
    <row r="843" ht="18" customHeight="1" x14ac:dyDescent="0.3"/>
    <row r="844" ht="18" customHeight="1" x14ac:dyDescent="0.3"/>
    <row r="845" ht="18" customHeight="1" x14ac:dyDescent="0.3"/>
    <row r="846" ht="18" customHeight="1" x14ac:dyDescent="0.3"/>
    <row r="847" ht="18" customHeight="1" x14ac:dyDescent="0.3"/>
    <row r="848" ht="18" customHeight="1" x14ac:dyDescent="0.3"/>
    <row r="849" ht="18" customHeight="1" x14ac:dyDescent="0.3"/>
    <row r="850" ht="18" customHeight="1" x14ac:dyDescent="0.3"/>
    <row r="851" ht="18" customHeight="1" x14ac:dyDescent="0.3"/>
    <row r="852" ht="18" customHeight="1" x14ac:dyDescent="0.3"/>
    <row r="853" ht="18" customHeight="1" x14ac:dyDescent="0.3"/>
    <row r="854" ht="18" customHeight="1" x14ac:dyDescent="0.3"/>
    <row r="855" ht="18" customHeight="1" x14ac:dyDescent="0.3"/>
    <row r="856" ht="18" customHeight="1" x14ac:dyDescent="0.3"/>
    <row r="857" ht="18" customHeight="1" x14ac:dyDescent="0.3"/>
    <row r="858" ht="18" customHeight="1" x14ac:dyDescent="0.3"/>
    <row r="859" ht="18" customHeight="1" x14ac:dyDescent="0.3"/>
    <row r="860" ht="18" customHeight="1" x14ac:dyDescent="0.3"/>
    <row r="861" ht="18" customHeight="1" x14ac:dyDescent="0.3"/>
    <row r="862" ht="18" customHeight="1" x14ac:dyDescent="0.3"/>
    <row r="863" ht="18" customHeight="1" x14ac:dyDescent="0.3"/>
    <row r="864" ht="18" customHeight="1" x14ac:dyDescent="0.3"/>
    <row r="865" ht="18" customHeight="1" x14ac:dyDescent="0.3"/>
    <row r="866" ht="18" customHeight="1" x14ac:dyDescent="0.3"/>
    <row r="867" ht="18" customHeight="1" x14ac:dyDescent="0.3"/>
    <row r="868" ht="18" customHeight="1" x14ac:dyDescent="0.3"/>
    <row r="869" ht="18" customHeight="1" x14ac:dyDescent="0.3"/>
    <row r="870" ht="18" customHeight="1" x14ac:dyDescent="0.3"/>
    <row r="871" ht="18" customHeight="1" x14ac:dyDescent="0.3"/>
    <row r="872" ht="18" customHeight="1" x14ac:dyDescent="0.3"/>
    <row r="873" ht="18" customHeight="1" x14ac:dyDescent="0.3"/>
    <row r="874" ht="18" customHeight="1" x14ac:dyDescent="0.3"/>
    <row r="875" ht="18" customHeight="1" x14ac:dyDescent="0.3"/>
    <row r="876" ht="18" customHeight="1" x14ac:dyDescent="0.3"/>
    <row r="877" ht="18" customHeight="1" x14ac:dyDescent="0.3"/>
    <row r="878" ht="18" customHeight="1" x14ac:dyDescent="0.3"/>
    <row r="879" ht="18" customHeight="1" x14ac:dyDescent="0.3"/>
    <row r="880" ht="18" customHeight="1" x14ac:dyDescent="0.3"/>
    <row r="881" ht="18" customHeight="1" x14ac:dyDescent="0.3"/>
    <row r="882" ht="18" customHeight="1" x14ac:dyDescent="0.3"/>
    <row r="883" ht="18" customHeight="1" x14ac:dyDescent="0.3"/>
    <row r="884" ht="18" customHeight="1" x14ac:dyDescent="0.3"/>
    <row r="885" ht="18" customHeight="1" x14ac:dyDescent="0.3"/>
    <row r="886" ht="18" customHeight="1" x14ac:dyDescent="0.3"/>
    <row r="887" ht="18" customHeight="1" x14ac:dyDescent="0.3"/>
    <row r="888" ht="18" customHeight="1" x14ac:dyDescent="0.3"/>
    <row r="889" ht="18" customHeight="1" x14ac:dyDescent="0.3"/>
    <row r="890" ht="18" customHeight="1" x14ac:dyDescent="0.3"/>
    <row r="891" ht="18" customHeight="1" x14ac:dyDescent="0.3"/>
    <row r="892" ht="18" customHeight="1" x14ac:dyDescent="0.3"/>
    <row r="893" ht="18" customHeight="1" x14ac:dyDescent="0.3"/>
    <row r="894" ht="18" customHeight="1" x14ac:dyDescent="0.3"/>
    <row r="895" ht="18" customHeight="1" x14ac:dyDescent="0.3"/>
    <row r="896" ht="18" customHeight="1" x14ac:dyDescent="0.3"/>
    <row r="897" ht="18" customHeight="1" x14ac:dyDescent="0.3"/>
    <row r="898" ht="18" customHeight="1" x14ac:dyDescent="0.3"/>
    <row r="899" ht="18" customHeight="1" x14ac:dyDescent="0.3"/>
    <row r="900" ht="18" customHeight="1" x14ac:dyDescent="0.3"/>
    <row r="901" ht="18" customHeight="1" x14ac:dyDescent="0.3"/>
    <row r="902" ht="18" customHeight="1" x14ac:dyDescent="0.3"/>
    <row r="903" ht="18" customHeight="1" x14ac:dyDescent="0.3"/>
    <row r="904" ht="18" customHeight="1" x14ac:dyDescent="0.3"/>
    <row r="905" ht="18" customHeight="1" x14ac:dyDescent="0.3"/>
    <row r="906" ht="18" customHeight="1" x14ac:dyDescent="0.3"/>
    <row r="907" ht="18" customHeight="1" x14ac:dyDescent="0.3"/>
    <row r="908" ht="18" customHeight="1" x14ac:dyDescent="0.3"/>
    <row r="909" ht="18" customHeight="1" x14ac:dyDescent="0.3"/>
    <row r="910" ht="18" customHeight="1" x14ac:dyDescent="0.3"/>
    <row r="911" ht="18" customHeight="1" x14ac:dyDescent="0.3"/>
    <row r="912" ht="18" customHeight="1" x14ac:dyDescent="0.3"/>
    <row r="913" ht="18" customHeight="1" x14ac:dyDescent="0.3"/>
    <row r="914" ht="18" customHeight="1" x14ac:dyDescent="0.3"/>
    <row r="915" ht="18" customHeight="1" x14ac:dyDescent="0.3"/>
    <row r="916" ht="18" customHeight="1" x14ac:dyDescent="0.3"/>
    <row r="917" ht="18" customHeight="1" x14ac:dyDescent="0.3"/>
    <row r="918" ht="18" customHeight="1" x14ac:dyDescent="0.3"/>
    <row r="919" ht="18" customHeight="1" x14ac:dyDescent="0.3"/>
    <row r="920" ht="18" customHeight="1" x14ac:dyDescent="0.3"/>
    <row r="921" ht="18" customHeight="1" x14ac:dyDescent="0.3"/>
    <row r="922" ht="18" customHeight="1" x14ac:dyDescent="0.3"/>
    <row r="923" ht="18" customHeight="1" x14ac:dyDescent="0.3"/>
    <row r="924" ht="18" customHeight="1" x14ac:dyDescent="0.3"/>
    <row r="925" ht="18" customHeight="1" x14ac:dyDescent="0.3"/>
    <row r="926" ht="18" customHeight="1" x14ac:dyDescent="0.3"/>
    <row r="927" ht="18" customHeight="1" x14ac:dyDescent="0.3"/>
    <row r="928" ht="18" customHeight="1" x14ac:dyDescent="0.3"/>
    <row r="929" ht="18" customHeight="1" x14ac:dyDescent="0.3"/>
    <row r="930" ht="18" customHeight="1" x14ac:dyDescent="0.3"/>
    <row r="931" ht="18" customHeight="1" x14ac:dyDescent="0.3"/>
    <row r="932" ht="18" customHeight="1" x14ac:dyDescent="0.3"/>
    <row r="933" ht="18" customHeight="1" x14ac:dyDescent="0.3"/>
    <row r="934" ht="18" customHeight="1" x14ac:dyDescent="0.3"/>
    <row r="935" ht="18" customHeight="1" x14ac:dyDescent="0.3"/>
    <row r="936" ht="18" customHeight="1" x14ac:dyDescent="0.3"/>
    <row r="937" ht="18" customHeight="1" x14ac:dyDescent="0.3"/>
    <row r="938" ht="18" customHeight="1" x14ac:dyDescent="0.3"/>
    <row r="939" ht="18" customHeight="1" x14ac:dyDescent="0.3"/>
    <row r="940" ht="18" customHeight="1" x14ac:dyDescent="0.3"/>
    <row r="941" ht="18" customHeight="1" x14ac:dyDescent="0.3"/>
    <row r="942" ht="18" customHeight="1" x14ac:dyDescent="0.3"/>
    <row r="943" ht="18" customHeight="1" x14ac:dyDescent="0.3"/>
    <row r="944" ht="18" customHeight="1" x14ac:dyDescent="0.3"/>
    <row r="945" ht="18" customHeight="1" x14ac:dyDescent="0.3"/>
    <row r="946" ht="18" customHeight="1" x14ac:dyDescent="0.3"/>
    <row r="947" ht="18" customHeight="1" x14ac:dyDescent="0.3"/>
    <row r="948" ht="18" customHeight="1" x14ac:dyDescent="0.3"/>
    <row r="949" ht="18" customHeight="1" x14ac:dyDescent="0.3"/>
    <row r="950" ht="18" customHeight="1" x14ac:dyDescent="0.3"/>
    <row r="951" ht="18" customHeight="1" x14ac:dyDescent="0.3"/>
    <row r="952" ht="18" customHeight="1" x14ac:dyDescent="0.3"/>
    <row r="953" ht="18" customHeight="1" x14ac:dyDescent="0.3"/>
    <row r="954" ht="18" customHeight="1" x14ac:dyDescent="0.3"/>
    <row r="955" ht="18" customHeight="1" x14ac:dyDescent="0.3"/>
    <row r="956" ht="18" customHeight="1" x14ac:dyDescent="0.3"/>
    <row r="957" ht="18" customHeight="1" x14ac:dyDescent="0.3"/>
    <row r="958" ht="18" customHeight="1" x14ac:dyDescent="0.3"/>
    <row r="959" ht="18" customHeight="1" x14ac:dyDescent="0.3"/>
    <row r="960" ht="18" customHeight="1" x14ac:dyDescent="0.3"/>
    <row r="961" ht="18" customHeight="1" x14ac:dyDescent="0.3"/>
    <row r="962" ht="18" customHeight="1" x14ac:dyDescent="0.3"/>
    <row r="963" ht="18" customHeight="1" x14ac:dyDescent="0.3"/>
    <row r="964" ht="18" customHeight="1" x14ac:dyDescent="0.3"/>
    <row r="965" ht="18" customHeight="1" x14ac:dyDescent="0.3"/>
    <row r="966" ht="18" customHeight="1" x14ac:dyDescent="0.3"/>
    <row r="967" ht="18" customHeight="1" x14ac:dyDescent="0.3"/>
    <row r="968" ht="18" customHeight="1" x14ac:dyDescent="0.3"/>
    <row r="969" ht="18" customHeight="1" x14ac:dyDescent="0.3"/>
    <row r="970" ht="18" customHeight="1" x14ac:dyDescent="0.3"/>
    <row r="971" ht="18" customHeight="1" x14ac:dyDescent="0.3"/>
    <row r="972" ht="18" customHeight="1" x14ac:dyDescent="0.3"/>
    <row r="973" ht="18" customHeight="1" x14ac:dyDescent="0.3"/>
    <row r="974" ht="18" customHeight="1" x14ac:dyDescent="0.3"/>
    <row r="975" ht="18" customHeight="1" x14ac:dyDescent="0.3"/>
    <row r="976" ht="18" customHeight="1" x14ac:dyDescent="0.3"/>
    <row r="977" ht="18" customHeight="1" x14ac:dyDescent="0.3"/>
    <row r="978" ht="18" customHeight="1" x14ac:dyDescent="0.3"/>
    <row r="979" ht="18" customHeight="1" x14ac:dyDescent="0.3"/>
    <row r="980" ht="18" customHeight="1" x14ac:dyDescent="0.3"/>
    <row r="981" ht="18" customHeight="1" x14ac:dyDescent="0.3"/>
    <row r="982" ht="18" customHeight="1" x14ac:dyDescent="0.3"/>
    <row r="983" ht="18" customHeight="1" x14ac:dyDescent="0.3"/>
    <row r="984" ht="18" customHeight="1" x14ac:dyDescent="0.3"/>
    <row r="985" ht="18" customHeight="1" x14ac:dyDescent="0.3"/>
    <row r="986" ht="18" customHeight="1" x14ac:dyDescent="0.3"/>
    <row r="987" ht="18" customHeight="1" x14ac:dyDescent="0.3"/>
    <row r="988" ht="18" customHeight="1" x14ac:dyDescent="0.3"/>
    <row r="989" ht="18" customHeight="1" x14ac:dyDescent="0.3"/>
    <row r="990" ht="18" customHeight="1" x14ac:dyDescent="0.3"/>
    <row r="991" ht="18" customHeight="1" x14ac:dyDescent="0.3"/>
    <row r="992" ht="18" customHeight="1" x14ac:dyDescent="0.3"/>
    <row r="993" ht="18" customHeight="1" x14ac:dyDescent="0.3"/>
    <row r="994" ht="18" customHeight="1" x14ac:dyDescent="0.3"/>
    <row r="995" ht="18" customHeight="1" x14ac:dyDescent="0.3"/>
    <row r="996" ht="18" customHeight="1" x14ac:dyDescent="0.3"/>
    <row r="997" ht="18" customHeight="1" x14ac:dyDescent="0.3"/>
    <row r="998" ht="18" customHeight="1" x14ac:dyDescent="0.3"/>
    <row r="999" ht="18" customHeight="1" x14ac:dyDescent="0.3"/>
    <row r="1000" ht="18" customHeight="1" x14ac:dyDescent="0.3"/>
    <row r="1001" ht="18" customHeight="1" x14ac:dyDescent="0.3"/>
    <row r="1002" ht="18" customHeight="1" x14ac:dyDescent="0.3"/>
    <row r="1003" ht="18" customHeight="1" x14ac:dyDescent="0.3"/>
    <row r="1004" ht="18" customHeight="1" x14ac:dyDescent="0.3"/>
    <row r="1005" ht="18" customHeight="1" x14ac:dyDescent="0.3"/>
    <row r="1006" ht="18" customHeight="1" x14ac:dyDescent="0.3"/>
    <row r="1007" ht="18" customHeight="1" x14ac:dyDescent="0.3"/>
    <row r="1008" ht="18" customHeight="1" x14ac:dyDescent="0.3"/>
    <row r="1009" ht="18" customHeight="1" x14ac:dyDescent="0.3"/>
    <row r="1010" ht="18" customHeight="1" x14ac:dyDescent="0.3"/>
    <row r="1011" ht="18" customHeight="1" x14ac:dyDescent="0.3"/>
    <row r="1012" ht="18" customHeight="1" x14ac:dyDescent="0.3"/>
    <row r="1013" ht="18" customHeight="1" x14ac:dyDescent="0.3"/>
    <row r="1014" ht="18" customHeight="1" x14ac:dyDescent="0.3"/>
    <row r="1015" ht="18" customHeight="1" x14ac:dyDescent="0.3"/>
    <row r="1016" ht="18" customHeight="1" x14ac:dyDescent="0.3"/>
    <row r="1017" ht="18" customHeight="1" x14ac:dyDescent="0.3"/>
    <row r="1018" ht="18" customHeight="1" x14ac:dyDescent="0.3"/>
    <row r="1019" ht="18" customHeight="1" x14ac:dyDescent="0.3"/>
    <row r="1020" ht="18" customHeight="1" x14ac:dyDescent="0.3"/>
    <row r="1021" ht="18" customHeight="1" x14ac:dyDescent="0.3"/>
    <row r="1022" ht="18" customHeight="1" x14ac:dyDescent="0.3"/>
    <row r="1023" ht="18" customHeight="1" x14ac:dyDescent="0.3"/>
    <row r="1024" ht="18" customHeight="1" x14ac:dyDescent="0.3"/>
    <row r="1025" ht="18" customHeight="1" x14ac:dyDescent="0.3"/>
    <row r="1026" ht="18" customHeight="1" x14ac:dyDescent="0.3"/>
    <row r="1027" ht="18" customHeight="1" x14ac:dyDescent="0.3"/>
    <row r="1028" ht="18" customHeight="1" x14ac:dyDescent="0.3"/>
    <row r="1029" ht="18" customHeight="1" x14ac:dyDescent="0.3"/>
    <row r="1030" ht="18" customHeight="1" x14ac:dyDescent="0.3"/>
    <row r="1031" ht="18" customHeight="1" x14ac:dyDescent="0.3"/>
    <row r="1032" ht="18" customHeight="1" x14ac:dyDescent="0.3"/>
    <row r="1033" ht="18" customHeight="1" x14ac:dyDescent="0.3"/>
    <row r="1034" ht="18" customHeight="1" x14ac:dyDescent="0.3"/>
    <row r="1035" ht="18" customHeight="1" x14ac:dyDescent="0.3"/>
    <row r="1036" ht="18" customHeight="1" x14ac:dyDescent="0.3"/>
    <row r="1037" ht="18" customHeight="1" x14ac:dyDescent="0.3"/>
    <row r="1038" ht="18" customHeight="1" x14ac:dyDescent="0.3"/>
    <row r="1039" ht="18" customHeight="1" x14ac:dyDescent="0.3"/>
    <row r="1040" ht="18" customHeight="1" x14ac:dyDescent="0.3"/>
    <row r="1041" ht="18" customHeight="1" x14ac:dyDescent="0.3"/>
    <row r="1042" ht="18" customHeight="1" x14ac:dyDescent="0.3"/>
    <row r="1043" ht="18" customHeight="1" x14ac:dyDescent="0.3"/>
    <row r="1044" ht="18" customHeight="1" x14ac:dyDescent="0.3"/>
    <row r="1045" ht="18" customHeight="1" x14ac:dyDescent="0.3"/>
    <row r="1046" ht="18" customHeight="1" x14ac:dyDescent="0.3"/>
    <row r="1047" ht="18" customHeight="1" x14ac:dyDescent="0.3"/>
    <row r="1048" ht="18" customHeight="1" x14ac:dyDescent="0.3"/>
    <row r="1049" ht="18" customHeight="1" x14ac:dyDescent="0.3"/>
    <row r="1050" ht="18" customHeight="1" x14ac:dyDescent="0.3"/>
    <row r="1051" ht="18" customHeight="1" x14ac:dyDescent="0.3"/>
    <row r="1052" ht="18" customHeight="1" x14ac:dyDescent="0.3"/>
    <row r="1053" ht="18" customHeight="1" x14ac:dyDescent="0.3"/>
    <row r="1054" ht="18" customHeight="1" x14ac:dyDescent="0.3"/>
    <row r="1055" ht="18" customHeight="1" x14ac:dyDescent="0.3"/>
    <row r="1056" ht="18" customHeight="1" x14ac:dyDescent="0.3"/>
    <row r="1057" ht="18" customHeight="1" x14ac:dyDescent="0.3"/>
    <row r="1058" ht="18" customHeight="1" x14ac:dyDescent="0.3"/>
    <row r="1059" ht="18" customHeight="1" x14ac:dyDescent="0.3"/>
    <row r="1060" ht="18" customHeight="1" x14ac:dyDescent="0.3"/>
    <row r="1061" ht="18" customHeight="1" x14ac:dyDescent="0.3"/>
    <row r="1062" ht="18" customHeight="1" x14ac:dyDescent="0.3"/>
    <row r="1063" ht="18" customHeight="1" x14ac:dyDescent="0.3"/>
    <row r="1064" ht="18" customHeight="1" x14ac:dyDescent="0.3"/>
    <row r="1065" ht="18" customHeight="1" x14ac:dyDescent="0.3"/>
    <row r="1066" ht="18" customHeight="1" x14ac:dyDescent="0.3"/>
    <row r="1067" ht="18" customHeight="1" x14ac:dyDescent="0.3"/>
    <row r="1068" ht="18" customHeight="1" x14ac:dyDescent="0.3"/>
    <row r="1069" ht="18" customHeight="1" x14ac:dyDescent="0.3"/>
    <row r="1070" ht="18" customHeight="1" x14ac:dyDescent="0.3"/>
    <row r="1071" ht="18" customHeight="1" x14ac:dyDescent="0.3"/>
    <row r="1072" ht="18" customHeight="1" x14ac:dyDescent="0.3"/>
    <row r="1073" ht="18" customHeight="1" x14ac:dyDescent="0.3"/>
    <row r="1074" ht="18" customHeight="1" x14ac:dyDescent="0.3"/>
    <row r="1075" ht="18" customHeight="1" x14ac:dyDescent="0.3"/>
    <row r="1076" ht="18" customHeight="1" x14ac:dyDescent="0.3"/>
    <row r="1077" ht="18" customHeight="1" x14ac:dyDescent="0.3"/>
    <row r="1078" ht="18" customHeight="1" x14ac:dyDescent="0.3"/>
    <row r="1079" ht="18" customHeight="1" x14ac:dyDescent="0.3"/>
    <row r="1080" ht="18" customHeight="1" x14ac:dyDescent="0.3"/>
    <row r="1081" ht="18" customHeight="1" x14ac:dyDescent="0.3"/>
    <row r="1082" ht="18" customHeight="1" x14ac:dyDescent="0.3"/>
    <row r="1083" ht="18" customHeight="1" x14ac:dyDescent="0.3"/>
    <row r="1084" ht="18" customHeight="1" x14ac:dyDescent="0.3"/>
    <row r="1085" ht="18" customHeight="1" x14ac:dyDescent="0.3"/>
    <row r="1086" ht="18" customHeight="1" x14ac:dyDescent="0.3"/>
    <row r="1087" ht="18" customHeight="1" x14ac:dyDescent="0.3"/>
    <row r="1088" ht="18" customHeight="1" x14ac:dyDescent="0.3"/>
    <row r="1089" ht="18" customHeight="1" x14ac:dyDescent="0.3"/>
    <row r="1090" ht="18" customHeight="1" x14ac:dyDescent="0.3"/>
    <row r="1091" ht="18" customHeight="1" x14ac:dyDescent="0.3"/>
    <row r="1092" ht="18" customHeight="1" x14ac:dyDescent="0.3"/>
    <row r="1093" ht="18" customHeight="1" x14ac:dyDescent="0.3"/>
    <row r="1094" ht="18" customHeight="1" x14ac:dyDescent="0.3"/>
    <row r="1095" ht="18" customHeight="1" x14ac:dyDescent="0.3"/>
    <row r="1096" ht="18" customHeight="1" x14ac:dyDescent="0.3"/>
    <row r="1097" ht="18" customHeight="1" x14ac:dyDescent="0.3"/>
    <row r="1098" ht="18" customHeight="1" x14ac:dyDescent="0.3"/>
    <row r="1099" ht="18" customHeight="1" x14ac:dyDescent="0.3"/>
    <row r="1100" ht="18" customHeight="1" x14ac:dyDescent="0.3"/>
    <row r="1101" ht="18" customHeight="1" x14ac:dyDescent="0.3"/>
    <row r="1102" ht="18" customHeight="1" x14ac:dyDescent="0.3"/>
    <row r="1103" ht="18" customHeight="1" x14ac:dyDescent="0.3"/>
    <row r="1104" ht="18" customHeight="1" x14ac:dyDescent="0.3"/>
    <row r="1105" ht="18" customHeight="1" x14ac:dyDescent="0.3"/>
    <row r="1106" ht="18" customHeight="1" x14ac:dyDescent="0.3"/>
    <row r="1107" ht="18" customHeight="1" x14ac:dyDescent="0.3"/>
    <row r="1108" ht="18" customHeight="1" x14ac:dyDescent="0.3"/>
    <row r="1109" ht="18" customHeight="1" x14ac:dyDescent="0.3"/>
    <row r="1110" ht="18" customHeight="1" x14ac:dyDescent="0.3"/>
    <row r="1111" ht="18" customHeight="1" x14ac:dyDescent="0.3"/>
    <row r="1112" ht="18" customHeight="1" x14ac:dyDescent="0.3"/>
    <row r="1113" ht="18" customHeight="1" x14ac:dyDescent="0.3"/>
    <row r="1114" ht="18" customHeight="1" x14ac:dyDescent="0.3"/>
    <row r="1115" ht="18" customHeight="1" x14ac:dyDescent="0.3"/>
    <row r="1116" ht="18" customHeight="1" x14ac:dyDescent="0.3"/>
    <row r="1117" ht="18" customHeight="1" x14ac:dyDescent="0.3"/>
    <row r="1118" ht="18" customHeight="1" x14ac:dyDescent="0.3"/>
    <row r="1119" ht="18" customHeight="1" x14ac:dyDescent="0.3"/>
    <row r="1120" ht="18" customHeight="1" x14ac:dyDescent="0.3"/>
    <row r="1121" ht="18" customHeight="1" x14ac:dyDescent="0.3"/>
    <row r="1122" ht="18" customHeight="1" x14ac:dyDescent="0.3"/>
    <row r="1123" ht="18" customHeight="1" x14ac:dyDescent="0.3"/>
    <row r="1124" ht="18" customHeight="1" x14ac:dyDescent="0.3"/>
    <row r="1125" ht="18" customHeight="1" x14ac:dyDescent="0.3"/>
    <row r="1126" ht="18" customHeight="1" x14ac:dyDescent="0.3"/>
    <row r="1127" ht="18" customHeight="1" x14ac:dyDescent="0.3"/>
    <row r="1128" ht="18" customHeight="1" x14ac:dyDescent="0.3"/>
    <row r="1129" ht="18" customHeight="1" x14ac:dyDescent="0.3"/>
    <row r="1130" ht="18" customHeight="1" x14ac:dyDescent="0.3"/>
    <row r="1131" ht="18" customHeight="1" x14ac:dyDescent="0.3"/>
    <row r="1132" ht="18" customHeight="1" x14ac:dyDescent="0.3"/>
    <row r="1133" ht="18" customHeight="1" x14ac:dyDescent="0.3"/>
    <row r="1134" ht="18" customHeight="1" x14ac:dyDescent="0.3"/>
    <row r="1135" ht="18" customHeight="1" x14ac:dyDescent="0.3"/>
    <row r="1136" ht="18" customHeight="1" x14ac:dyDescent="0.3"/>
    <row r="1137" ht="18" customHeight="1" x14ac:dyDescent="0.3"/>
    <row r="1138" ht="18" customHeight="1" x14ac:dyDescent="0.3"/>
    <row r="1139" ht="18" customHeight="1" x14ac:dyDescent="0.3"/>
    <row r="1140" ht="18" customHeight="1" x14ac:dyDescent="0.3"/>
    <row r="1141" ht="18" customHeight="1" x14ac:dyDescent="0.3"/>
    <row r="1142" ht="18" customHeight="1" x14ac:dyDescent="0.3"/>
    <row r="1143" ht="18" customHeight="1" x14ac:dyDescent="0.3"/>
    <row r="1144" ht="18" customHeight="1" x14ac:dyDescent="0.3"/>
    <row r="1145" ht="18" customHeight="1" x14ac:dyDescent="0.3"/>
    <row r="1146" ht="18" customHeight="1" x14ac:dyDescent="0.3"/>
    <row r="1147" ht="18" customHeight="1" x14ac:dyDescent="0.3"/>
    <row r="1148" ht="18" customHeight="1" x14ac:dyDescent="0.3"/>
    <row r="1149" ht="18" customHeight="1" x14ac:dyDescent="0.3"/>
    <row r="1150" ht="18" customHeight="1" x14ac:dyDescent="0.3"/>
    <row r="1151" ht="18" customHeight="1" x14ac:dyDescent="0.3"/>
    <row r="1152" ht="18" customHeight="1" x14ac:dyDescent="0.3"/>
    <row r="1153" ht="18" customHeight="1" x14ac:dyDescent="0.3"/>
    <row r="1154" ht="18" customHeight="1" x14ac:dyDescent="0.3"/>
    <row r="1155" ht="18" customHeight="1" x14ac:dyDescent="0.3"/>
    <row r="1156" ht="18" customHeight="1" x14ac:dyDescent="0.3"/>
    <row r="1157" ht="18" customHeight="1" x14ac:dyDescent="0.3"/>
    <row r="1158" ht="18" customHeight="1" x14ac:dyDescent="0.3"/>
    <row r="1159" ht="18" customHeight="1" x14ac:dyDescent="0.3"/>
    <row r="1160" ht="18" customHeight="1" x14ac:dyDescent="0.3"/>
    <row r="1161" ht="18" customHeight="1" x14ac:dyDescent="0.3"/>
    <row r="1162" ht="18" customHeight="1" x14ac:dyDescent="0.3"/>
    <row r="1163" ht="18" customHeight="1" x14ac:dyDescent="0.3"/>
    <row r="1164" ht="18" customHeight="1" x14ac:dyDescent="0.3"/>
    <row r="1165" ht="18" customHeight="1" x14ac:dyDescent="0.3"/>
    <row r="1166" ht="18" customHeight="1" x14ac:dyDescent="0.3"/>
    <row r="1167" ht="18" customHeight="1" x14ac:dyDescent="0.3"/>
    <row r="1168" ht="18" customHeight="1" x14ac:dyDescent="0.3"/>
    <row r="1169" ht="18" customHeight="1" x14ac:dyDescent="0.3"/>
    <row r="1170" ht="18" customHeight="1" x14ac:dyDescent="0.3"/>
    <row r="1171" ht="18" customHeight="1" x14ac:dyDescent="0.3"/>
    <row r="1172" ht="18" customHeight="1" x14ac:dyDescent="0.3"/>
    <row r="1173" ht="18" customHeight="1" x14ac:dyDescent="0.3"/>
    <row r="1174" ht="18" customHeight="1" x14ac:dyDescent="0.3"/>
    <row r="1175" ht="18" customHeight="1" x14ac:dyDescent="0.3"/>
    <row r="1176" ht="18" customHeight="1" x14ac:dyDescent="0.3"/>
    <row r="1177" ht="18" customHeight="1" x14ac:dyDescent="0.3"/>
    <row r="1178" ht="18" customHeight="1" x14ac:dyDescent="0.3"/>
    <row r="1179" ht="18" customHeight="1" x14ac:dyDescent="0.3"/>
    <row r="1180" ht="18" customHeight="1" x14ac:dyDescent="0.3"/>
    <row r="1181" ht="18" customHeight="1" x14ac:dyDescent="0.3"/>
    <row r="1182" ht="18" customHeight="1" x14ac:dyDescent="0.3"/>
    <row r="1183" ht="18" customHeight="1" x14ac:dyDescent="0.3"/>
    <row r="1184" ht="18" customHeight="1" x14ac:dyDescent="0.3"/>
    <row r="1185" ht="18" customHeight="1" x14ac:dyDescent="0.3"/>
    <row r="1186" ht="18" customHeight="1" x14ac:dyDescent="0.3"/>
    <row r="1187" ht="18" customHeight="1" x14ac:dyDescent="0.3"/>
    <row r="1188" ht="18" customHeight="1" x14ac:dyDescent="0.3"/>
    <row r="1189" ht="18" customHeight="1" x14ac:dyDescent="0.3"/>
    <row r="1190" ht="18" customHeight="1" x14ac:dyDescent="0.3"/>
    <row r="1191" ht="18" customHeight="1" x14ac:dyDescent="0.3"/>
    <row r="1192" ht="18" customHeight="1" x14ac:dyDescent="0.3"/>
    <row r="1193" ht="18" customHeight="1" x14ac:dyDescent="0.3"/>
    <row r="1194" ht="18" customHeight="1" x14ac:dyDescent="0.3"/>
    <row r="1195" ht="18" customHeight="1" x14ac:dyDescent="0.3"/>
    <row r="1196" ht="18" customHeight="1" x14ac:dyDescent="0.3"/>
    <row r="1197" ht="18" customHeight="1" x14ac:dyDescent="0.3"/>
    <row r="1198" ht="18" customHeight="1" x14ac:dyDescent="0.3"/>
    <row r="1199" ht="18" customHeight="1" x14ac:dyDescent="0.3"/>
    <row r="1200" ht="18" customHeight="1" x14ac:dyDescent="0.3"/>
    <row r="1201" ht="18" customHeight="1" x14ac:dyDescent="0.3"/>
    <row r="1202" ht="18" customHeight="1" x14ac:dyDescent="0.3"/>
    <row r="1203" ht="18" customHeight="1" x14ac:dyDescent="0.3"/>
    <row r="1204" ht="18" customHeight="1" x14ac:dyDescent="0.3"/>
    <row r="1205" ht="18" customHeight="1" x14ac:dyDescent="0.3"/>
    <row r="1206" ht="18" customHeight="1" x14ac:dyDescent="0.3"/>
    <row r="1207" ht="18" customHeight="1" x14ac:dyDescent="0.3"/>
    <row r="1208" ht="18" customHeight="1" x14ac:dyDescent="0.3"/>
    <row r="1209" ht="18" customHeight="1" x14ac:dyDescent="0.3"/>
    <row r="1210" ht="18" customHeight="1" x14ac:dyDescent="0.3"/>
    <row r="1211" ht="18" customHeight="1" x14ac:dyDescent="0.3"/>
    <row r="1212" ht="18" customHeight="1" x14ac:dyDescent="0.3"/>
    <row r="1213" ht="18" customHeight="1" x14ac:dyDescent="0.3"/>
    <row r="1214" ht="18" customHeight="1" x14ac:dyDescent="0.3"/>
    <row r="1215" ht="18" customHeight="1" x14ac:dyDescent="0.3"/>
    <row r="1216" ht="18" customHeight="1" x14ac:dyDescent="0.3"/>
    <row r="1217" ht="18" customHeight="1" x14ac:dyDescent="0.3"/>
    <row r="1218" ht="18" customHeight="1" x14ac:dyDescent="0.3"/>
    <row r="1219" ht="18" customHeight="1" x14ac:dyDescent="0.3"/>
    <row r="1220" ht="18" customHeight="1" x14ac:dyDescent="0.3"/>
    <row r="1221" ht="18" customHeight="1" x14ac:dyDescent="0.3"/>
    <row r="1222" ht="18" customHeight="1" x14ac:dyDescent="0.3"/>
    <row r="1223" ht="18" customHeight="1" x14ac:dyDescent="0.3"/>
    <row r="1224" ht="18" customHeight="1" x14ac:dyDescent="0.3"/>
    <row r="1225" ht="18" customHeight="1" x14ac:dyDescent="0.3"/>
    <row r="1226" ht="18" customHeight="1" x14ac:dyDescent="0.3"/>
    <row r="1227" ht="18" customHeight="1" x14ac:dyDescent="0.3"/>
    <row r="1228" ht="18" customHeight="1" x14ac:dyDescent="0.3"/>
    <row r="1229" ht="18" customHeight="1" x14ac:dyDescent="0.3"/>
    <row r="1230" ht="18" customHeight="1" x14ac:dyDescent="0.3"/>
    <row r="1231" ht="18" customHeight="1" x14ac:dyDescent="0.3"/>
    <row r="1232" ht="18" customHeight="1" x14ac:dyDescent="0.3"/>
    <row r="1233" ht="18" customHeight="1" x14ac:dyDescent="0.3"/>
    <row r="1234" ht="18" customHeight="1" x14ac:dyDescent="0.3"/>
    <row r="1235" ht="18" customHeight="1" x14ac:dyDescent="0.3"/>
    <row r="1236" ht="18" customHeight="1" x14ac:dyDescent="0.3"/>
    <row r="1237" ht="18" customHeight="1" x14ac:dyDescent="0.3"/>
    <row r="1238" ht="18" customHeight="1" x14ac:dyDescent="0.3"/>
    <row r="1239" ht="18" customHeight="1" x14ac:dyDescent="0.3"/>
    <row r="1240" ht="18" customHeight="1" x14ac:dyDescent="0.3"/>
    <row r="1241" ht="18" customHeight="1" x14ac:dyDescent="0.3"/>
    <row r="1242" ht="18" customHeight="1" x14ac:dyDescent="0.3"/>
    <row r="1243" ht="18" customHeight="1" x14ac:dyDescent="0.3"/>
    <row r="1244" ht="18" customHeight="1" x14ac:dyDescent="0.3"/>
    <row r="1245" ht="18" customHeight="1" x14ac:dyDescent="0.3"/>
    <row r="1246" ht="18" customHeight="1" x14ac:dyDescent="0.3"/>
    <row r="1247" ht="18" customHeight="1" x14ac:dyDescent="0.3"/>
    <row r="1248" ht="18" customHeight="1" x14ac:dyDescent="0.3"/>
    <row r="1249" ht="18" customHeight="1" x14ac:dyDescent="0.3"/>
    <row r="1250" ht="18" customHeight="1" x14ac:dyDescent="0.3"/>
    <row r="1251" ht="18" customHeight="1" x14ac:dyDescent="0.3"/>
    <row r="1252" ht="18" customHeight="1" x14ac:dyDescent="0.3"/>
    <row r="1253" ht="6" customHeight="1" x14ac:dyDescent="0.3"/>
    <row r="1254" ht="48" customHeight="1" x14ac:dyDescent="0.3"/>
    <row r="1255" ht="21.75" customHeight="1" x14ac:dyDescent="0.3"/>
    <row r="1256" ht="21.75" customHeight="1" x14ac:dyDescent="0.3"/>
    <row r="1257" ht="21.75" customHeight="1" x14ac:dyDescent="0.3"/>
    <row r="1258" ht="21.75" customHeight="1" x14ac:dyDescent="0.3"/>
    <row r="1259" ht="21.75" customHeight="1" x14ac:dyDescent="0.3"/>
    <row r="1260" ht="6" customHeight="1" x14ac:dyDescent="0.3"/>
    <row r="1261" ht="48" customHeight="1" x14ac:dyDescent="0.3"/>
    <row r="1262" ht="21.75" customHeight="1" x14ac:dyDescent="0.3"/>
    <row r="1263" ht="21.75" customHeight="1" x14ac:dyDescent="0.3"/>
    <row r="1264" ht="21.75" customHeight="1" x14ac:dyDescent="0.3"/>
    <row r="1265" ht="21.75" customHeight="1" x14ac:dyDescent="0.3"/>
    <row r="1266" ht="21.75" customHeight="1" x14ac:dyDescent="0.3"/>
    <row r="1267" ht="6" customHeight="1" x14ac:dyDescent="0.3"/>
    <row r="1268" ht="48" customHeight="1" x14ac:dyDescent="0.3"/>
    <row r="1269" ht="21.75" customHeight="1" x14ac:dyDescent="0.3"/>
    <row r="1270" ht="21.75" customHeight="1" x14ac:dyDescent="0.3"/>
    <row r="1271" ht="21.75" customHeight="1" x14ac:dyDescent="0.3"/>
    <row r="1272" ht="21.75" customHeight="1" x14ac:dyDescent="0.3"/>
    <row r="1273" ht="21.75" customHeight="1" x14ac:dyDescent="0.3"/>
    <row r="1274" ht="6" customHeight="1" x14ac:dyDescent="0.3"/>
    <row r="1275" ht="48" customHeight="1" x14ac:dyDescent="0.3"/>
    <row r="1276" ht="21.75" customHeight="1" x14ac:dyDescent="0.3"/>
    <row r="1277" ht="21.75" customHeight="1" x14ac:dyDescent="0.3"/>
    <row r="1278" ht="21.75" customHeight="1" x14ac:dyDescent="0.3"/>
    <row r="1279" ht="21.75" customHeight="1" x14ac:dyDescent="0.3"/>
    <row r="1280" ht="21.75" customHeight="1" x14ac:dyDescent="0.3"/>
    <row r="1281" ht="6" customHeight="1" x14ac:dyDescent="0.3"/>
    <row r="1282" ht="48" customHeight="1" x14ac:dyDescent="0.3"/>
    <row r="1283" ht="21.75" customHeight="1" x14ac:dyDescent="0.3"/>
    <row r="1284" ht="21.75" customHeight="1" x14ac:dyDescent="0.3"/>
    <row r="1285" ht="21.75" customHeight="1" x14ac:dyDescent="0.3"/>
    <row r="1286" ht="21.75" customHeight="1" x14ac:dyDescent="0.3"/>
    <row r="1287" ht="21.75" customHeight="1" x14ac:dyDescent="0.3"/>
    <row r="1288" ht="21.75" customHeight="1" x14ac:dyDescent="0.3"/>
    <row r="1289" ht="21.75" customHeight="1" x14ac:dyDescent="0.3"/>
    <row r="1290" ht="6" customHeight="1" x14ac:dyDescent="0.3"/>
    <row r="1291" ht="48" customHeight="1" x14ac:dyDescent="0.3"/>
    <row r="1292" ht="21.75" customHeight="1" x14ac:dyDescent="0.3"/>
    <row r="1293" ht="21.75" customHeight="1" x14ac:dyDescent="0.3"/>
    <row r="1294" ht="21.75" customHeight="1" x14ac:dyDescent="0.3"/>
    <row r="1295" ht="21.75" customHeight="1" x14ac:dyDescent="0.3"/>
    <row r="1296" ht="21.75" customHeight="1" x14ac:dyDescent="0.3"/>
    <row r="1297" ht="6" customHeight="1" x14ac:dyDescent="0.3"/>
    <row r="1298" ht="48" customHeight="1" x14ac:dyDescent="0.3"/>
    <row r="1299" ht="21.75" customHeight="1" x14ac:dyDescent="0.3"/>
    <row r="1300" ht="21.75" customHeight="1" x14ac:dyDescent="0.3"/>
    <row r="1301" ht="21.75" customHeight="1" x14ac:dyDescent="0.3"/>
    <row r="1302" ht="21.75" customHeight="1" x14ac:dyDescent="0.3"/>
    <row r="1303" ht="21.75" customHeight="1" x14ac:dyDescent="0.3"/>
    <row r="1304" ht="6" customHeight="1" x14ac:dyDescent="0.3"/>
    <row r="1305" ht="48" customHeight="1" x14ac:dyDescent="0.3"/>
    <row r="1306" ht="21.75" customHeight="1" x14ac:dyDescent="0.3"/>
    <row r="1307" ht="21.75" customHeight="1" x14ac:dyDescent="0.3"/>
    <row r="1308" ht="21.75" customHeight="1" x14ac:dyDescent="0.3"/>
    <row r="1309" ht="21.75" customHeight="1" x14ac:dyDescent="0.3"/>
    <row r="1310" ht="21.75" customHeight="1" x14ac:dyDescent="0.3"/>
    <row r="1311" ht="6" customHeight="1" x14ac:dyDescent="0.3"/>
    <row r="1312" ht="48" customHeight="1" x14ac:dyDescent="0.3"/>
    <row r="1313" ht="21.75" customHeight="1" x14ac:dyDescent="0.3"/>
    <row r="1314" ht="21.75" customHeight="1" x14ac:dyDescent="0.3"/>
    <row r="1315" ht="21.75" customHeight="1" x14ac:dyDescent="0.3"/>
    <row r="1316" ht="21.75" customHeight="1" x14ac:dyDescent="0.3"/>
    <row r="1317" ht="21.75" customHeight="1" x14ac:dyDescent="0.3"/>
    <row r="1318" ht="6" customHeight="1" x14ac:dyDescent="0.3"/>
    <row r="1319" ht="64.05" customHeight="1" x14ac:dyDescent="0.3"/>
    <row r="1320" ht="21.75" customHeight="1" x14ac:dyDescent="0.3"/>
    <row r="1321" ht="21.75" customHeight="1" x14ac:dyDescent="0.3"/>
    <row r="1322" ht="21.75" customHeight="1" x14ac:dyDescent="0.3"/>
    <row r="1323" ht="21.75" customHeight="1" x14ac:dyDescent="0.3"/>
    <row r="1324" ht="21.75" customHeight="1" x14ac:dyDescent="0.3"/>
    <row r="1325" ht="6" customHeight="1" x14ac:dyDescent="0.3"/>
    <row r="1326" ht="48" customHeight="1" x14ac:dyDescent="0.3"/>
    <row r="1327" ht="21.75" customHeight="1" x14ac:dyDescent="0.3"/>
    <row r="1328" ht="21.75" customHeight="1" x14ac:dyDescent="0.3"/>
    <row r="1329" ht="21.75" customHeight="1" x14ac:dyDescent="0.3"/>
    <row r="1330" ht="21.75" customHeight="1" x14ac:dyDescent="0.3"/>
    <row r="1331" ht="21.75" customHeight="1" x14ac:dyDescent="0.3"/>
    <row r="1332" ht="6" customHeight="1" x14ac:dyDescent="0.3"/>
    <row r="1333" ht="48" customHeight="1" x14ac:dyDescent="0.3"/>
    <row r="1334" ht="21.75" customHeight="1" x14ac:dyDescent="0.3"/>
    <row r="1335" ht="21.75" customHeight="1" x14ac:dyDescent="0.3"/>
    <row r="1336" ht="21.75" customHeight="1" x14ac:dyDescent="0.3"/>
    <row r="1337" ht="21.75" customHeight="1" x14ac:dyDescent="0.3"/>
    <row r="1338" ht="21.75" customHeight="1" x14ac:dyDescent="0.3"/>
    <row r="1339" ht="6" customHeight="1" x14ac:dyDescent="0.3"/>
    <row r="1340" ht="48" customHeight="1" x14ac:dyDescent="0.3"/>
    <row r="1341" ht="21.75" customHeight="1" x14ac:dyDescent="0.3"/>
    <row r="1342" ht="21.75" customHeight="1" x14ac:dyDescent="0.3"/>
    <row r="1343" ht="21.75" customHeight="1" x14ac:dyDescent="0.3"/>
    <row r="1344" ht="21.75" customHeight="1" x14ac:dyDescent="0.3"/>
    <row r="1345" ht="21.75" customHeight="1" x14ac:dyDescent="0.3"/>
    <row r="1346" ht="6" customHeight="1" x14ac:dyDescent="0.3"/>
    <row r="1347" ht="48" customHeight="1" x14ac:dyDescent="0.3"/>
    <row r="1348" ht="21.75" customHeight="1" x14ac:dyDescent="0.3"/>
    <row r="1349" ht="21.75" customHeight="1" x14ac:dyDescent="0.3"/>
    <row r="1350" ht="21.75" customHeight="1" x14ac:dyDescent="0.3"/>
    <row r="1351" ht="21.75" customHeight="1" x14ac:dyDescent="0.3"/>
    <row r="1352" ht="21.75" customHeight="1" x14ac:dyDescent="0.3"/>
    <row r="1353" ht="6" customHeight="1" x14ac:dyDescent="0.3"/>
    <row r="1354" ht="48" customHeight="1" x14ac:dyDescent="0.3"/>
    <row r="1355" ht="21.75" customHeight="1" x14ac:dyDescent="0.3"/>
    <row r="1356" ht="21.75" customHeight="1" x14ac:dyDescent="0.3"/>
    <row r="1357" ht="21.75" customHeight="1" x14ac:dyDescent="0.3"/>
    <row r="1358" ht="21.75" customHeight="1" x14ac:dyDescent="0.3"/>
    <row r="1359" ht="21.75" customHeight="1" x14ac:dyDescent="0.3"/>
    <row r="1361" ht="30" customHeight="1" x14ac:dyDescent="0.3"/>
  </sheetData>
  <mergeCells count="2">
    <mergeCell ref="B2:H2"/>
    <mergeCell ref="B399:H399"/>
  </mergeCells>
  <hyperlinks>
    <hyperlink ref="B1" location="'Sommaire'!B2" display="← Retour au Sommaire" xr:uid="{00000000-0004-0000-0200-000000000000}"/>
    <hyperlink ref="C6" r:id="rId1" xr:uid="{00000000-0004-0000-0200-000001000000}"/>
    <hyperlink ref="C7" r:id="rId2" xr:uid="{00000000-0004-0000-0200-000002000000}"/>
    <hyperlink ref="C8" r:id="rId3" xr:uid="{00000000-0004-0000-0200-000003000000}"/>
    <hyperlink ref="C9" r:id="rId4" xr:uid="{00000000-0004-0000-0200-000004000000}"/>
    <hyperlink ref="C10" r:id="rId5" xr:uid="{00000000-0004-0000-0200-000005000000}"/>
    <hyperlink ref="C11" r:id="rId6" xr:uid="{00000000-0004-0000-0200-000006000000}"/>
    <hyperlink ref="C12" r:id="rId7" xr:uid="{00000000-0004-0000-0200-000007000000}"/>
    <hyperlink ref="C15" r:id="rId8" xr:uid="{00000000-0004-0000-0200-000008000000}"/>
    <hyperlink ref="C16" r:id="rId9" xr:uid="{00000000-0004-0000-0200-000009000000}"/>
    <hyperlink ref="C17" r:id="rId10" xr:uid="{00000000-0004-0000-0200-00000A000000}"/>
    <hyperlink ref="C18" r:id="rId11" xr:uid="{00000000-0004-0000-0200-00000B000000}"/>
    <hyperlink ref="C19" r:id="rId12" xr:uid="{00000000-0004-0000-0200-00000C000000}"/>
    <hyperlink ref="C20" r:id="rId13" xr:uid="{00000000-0004-0000-0200-00000D000000}"/>
    <hyperlink ref="C21" r:id="rId14" xr:uid="{00000000-0004-0000-0200-00000E000000}"/>
    <hyperlink ref="C22" r:id="rId15" xr:uid="{00000000-0004-0000-0200-00000F000000}"/>
    <hyperlink ref="C23" r:id="rId16" xr:uid="{00000000-0004-0000-0200-000010000000}"/>
    <hyperlink ref="C24" r:id="rId17" xr:uid="{00000000-0004-0000-0200-000011000000}"/>
    <hyperlink ref="C25" r:id="rId18" xr:uid="{00000000-0004-0000-0200-000012000000}"/>
    <hyperlink ref="C26" r:id="rId19" xr:uid="{00000000-0004-0000-0200-000013000000}"/>
    <hyperlink ref="C27" r:id="rId20" xr:uid="{00000000-0004-0000-0200-000014000000}"/>
    <hyperlink ref="C28" r:id="rId21" xr:uid="{00000000-0004-0000-0200-000015000000}"/>
    <hyperlink ref="C29" r:id="rId22" xr:uid="{00000000-0004-0000-0200-000016000000}"/>
    <hyperlink ref="D29" r:id="rId23" xr:uid="{00000000-0004-0000-0200-000017000000}"/>
    <hyperlink ref="C30" r:id="rId24" xr:uid="{00000000-0004-0000-0200-000018000000}"/>
    <hyperlink ref="C31" r:id="rId25" xr:uid="{00000000-0004-0000-0200-000019000000}"/>
    <hyperlink ref="C32" r:id="rId26" xr:uid="{00000000-0004-0000-0200-00001A000000}"/>
    <hyperlink ref="C33" r:id="rId27" xr:uid="{00000000-0004-0000-0200-00001B000000}"/>
    <hyperlink ref="C34" r:id="rId28" xr:uid="{00000000-0004-0000-0200-00001C000000}"/>
    <hyperlink ref="C35" r:id="rId29" xr:uid="{00000000-0004-0000-0200-00001D000000}"/>
    <hyperlink ref="C36" r:id="rId30" xr:uid="{00000000-0004-0000-0200-00001E000000}"/>
    <hyperlink ref="C37" r:id="rId31" xr:uid="{00000000-0004-0000-0200-00001F000000}"/>
    <hyperlink ref="D37" r:id="rId32" xr:uid="{00000000-0004-0000-0200-000020000000}"/>
    <hyperlink ref="C38" r:id="rId33" xr:uid="{00000000-0004-0000-0200-000021000000}"/>
    <hyperlink ref="C39" r:id="rId34" xr:uid="{00000000-0004-0000-0200-000022000000}"/>
    <hyperlink ref="C40" r:id="rId35" xr:uid="{00000000-0004-0000-0200-000023000000}"/>
    <hyperlink ref="C41" r:id="rId36" xr:uid="{00000000-0004-0000-0200-000024000000}"/>
    <hyperlink ref="C42" r:id="rId37" xr:uid="{00000000-0004-0000-0200-000025000000}"/>
    <hyperlink ref="C43" r:id="rId38" xr:uid="{00000000-0004-0000-0200-000026000000}"/>
    <hyperlink ref="C46" r:id="rId39" xr:uid="{00000000-0004-0000-0200-000027000000}"/>
    <hyperlink ref="C47" r:id="rId40" xr:uid="{00000000-0004-0000-0200-000028000000}"/>
    <hyperlink ref="C48" r:id="rId41" xr:uid="{00000000-0004-0000-0200-000029000000}"/>
    <hyperlink ref="C49" r:id="rId42" xr:uid="{00000000-0004-0000-0200-00002A000000}"/>
    <hyperlink ref="C52" r:id="rId43" xr:uid="{00000000-0004-0000-0200-00002B000000}"/>
    <hyperlink ref="C53" r:id="rId44" xr:uid="{00000000-0004-0000-0200-00002C000000}"/>
    <hyperlink ref="C54" r:id="rId45" xr:uid="{00000000-0004-0000-0200-00002D000000}"/>
    <hyperlink ref="C55" r:id="rId46" xr:uid="{00000000-0004-0000-0200-00002E000000}"/>
    <hyperlink ref="C56" r:id="rId47" xr:uid="{00000000-0004-0000-0200-00002F000000}"/>
    <hyperlink ref="C57" r:id="rId48" xr:uid="{00000000-0004-0000-0200-000030000000}"/>
    <hyperlink ref="C58" r:id="rId49" xr:uid="{00000000-0004-0000-0200-000031000000}"/>
    <hyperlink ref="C59" r:id="rId50" xr:uid="{00000000-0004-0000-0200-000032000000}"/>
    <hyperlink ref="C60" r:id="rId51" xr:uid="{00000000-0004-0000-0200-000033000000}"/>
    <hyperlink ref="C61" r:id="rId52" xr:uid="{00000000-0004-0000-0200-000034000000}"/>
    <hyperlink ref="C62" r:id="rId53" xr:uid="{00000000-0004-0000-0200-000035000000}"/>
    <hyperlink ref="C63" r:id="rId54" xr:uid="{00000000-0004-0000-0200-000036000000}"/>
    <hyperlink ref="C64" r:id="rId55" xr:uid="{00000000-0004-0000-0200-000037000000}"/>
    <hyperlink ref="C65" r:id="rId56" xr:uid="{00000000-0004-0000-0200-000038000000}"/>
    <hyperlink ref="C66" r:id="rId57" xr:uid="{00000000-0004-0000-0200-000039000000}"/>
    <hyperlink ref="C70" r:id="rId58" xr:uid="{00000000-0004-0000-0200-00003A000000}"/>
    <hyperlink ref="C71" r:id="rId59" xr:uid="{00000000-0004-0000-0200-00003B000000}"/>
    <hyperlink ref="C72" r:id="rId60" xr:uid="{00000000-0004-0000-0200-00003C000000}"/>
    <hyperlink ref="C73" r:id="rId61" xr:uid="{00000000-0004-0000-0200-00003D000000}"/>
    <hyperlink ref="C74" r:id="rId62" xr:uid="{00000000-0004-0000-0200-00003E000000}"/>
    <hyperlink ref="C77" r:id="rId63" xr:uid="{00000000-0004-0000-0200-00003F000000}"/>
    <hyperlink ref="C78" r:id="rId64" xr:uid="{00000000-0004-0000-0200-000040000000}"/>
    <hyperlink ref="C79" r:id="rId65" xr:uid="{00000000-0004-0000-0200-000041000000}"/>
    <hyperlink ref="C80" r:id="rId66" xr:uid="{00000000-0004-0000-0200-000042000000}"/>
    <hyperlink ref="C81" r:id="rId67" xr:uid="{00000000-0004-0000-0200-000043000000}"/>
    <hyperlink ref="C82" r:id="rId68" xr:uid="{00000000-0004-0000-0200-000044000000}"/>
    <hyperlink ref="C85" r:id="rId69" xr:uid="{00000000-0004-0000-0200-000045000000}"/>
    <hyperlink ref="D85" r:id="rId70" xr:uid="{00000000-0004-0000-0200-000046000000}"/>
    <hyperlink ref="C86" r:id="rId71" xr:uid="{00000000-0004-0000-0200-000047000000}"/>
    <hyperlink ref="C87" r:id="rId72" xr:uid="{00000000-0004-0000-0200-000048000000}"/>
    <hyperlink ref="C88" r:id="rId73" xr:uid="{00000000-0004-0000-0200-000049000000}"/>
    <hyperlink ref="C91" r:id="rId74" xr:uid="{00000000-0004-0000-0200-00004A000000}"/>
    <hyperlink ref="C94" r:id="rId75" xr:uid="{00000000-0004-0000-0200-00004B000000}"/>
    <hyperlink ref="C95" r:id="rId76" xr:uid="{00000000-0004-0000-0200-00004C000000}"/>
    <hyperlink ref="C96" r:id="rId77" xr:uid="{00000000-0004-0000-0200-00004D000000}"/>
    <hyperlink ref="C97" r:id="rId78" xr:uid="{00000000-0004-0000-0200-00004E000000}"/>
    <hyperlink ref="C98" r:id="rId79" xr:uid="{00000000-0004-0000-0200-00004F000000}"/>
    <hyperlink ref="C99" r:id="rId80" xr:uid="{00000000-0004-0000-0200-000050000000}"/>
    <hyperlink ref="C103" r:id="rId81" xr:uid="{00000000-0004-0000-0200-000051000000}"/>
    <hyperlink ref="C104" r:id="rId82" xr:uid="{00000000-0004-0000-0200-000052000000}"/>
    <hyperlink ref="C107" r:id="rId83" xr:uid="{00000000-0004-0000-0200-000053000000}"/>
    <hyperlink ref="C108" r:id="rId84" xr:uid="{00000000-0004-0000-0200-000054000000}"/>
    <hyperlink ref="C109" r:id="rId85" xr:uid="{00000000-0004-0000-0200-000055000000}"/>
    <hyperlink ref="C110" r:id="rId86" xr:uid="{00000000-0004-0000-0200-000056000000}"/>
    <hyperlink ref="C111" r:id="rId87" xr:uid="{00000000-0004-0000-0200-000057000000}"/>
    <hyperlink ref="C114" r:id="rId88" xr:uid="{00000000-0004-0000-0200-000058000000}"/>
    <hyperlink ref="C115" r:id="rId89" xr:uid="{00000000-0004-0000-0200-000059000000}"/>
    <hyperlink ref="C116" r:id="rId90" xr:uid="{00000000-0004-0000-0200-00005A000000}"/>
    <hyperlink ref="C117" r:id="rId91" xr:uid="{00000000-0004-0000-0200-00005B000000}"/>
    <hyperlink ref="C118" r:id="rId92" xr:uid="{00000000-0004-0000-0200-00005C000000}"/>
    <hyperlink ref="D118" r:id="rId93" xr:uid="{00000000-0004-0000-0200-00005D000000}"/>
    <hyperlink ref="C119" r:id="rId94" xr:uid="{00000000-0004-0000-0200-00005E000000}"/>
    <hyperlink ref="C120" r:id="rId95" xr:uid="{00000000-0004-0000-0200-00005F000000}"/>
    <hyperlink ref="C123" r:id="rId96" xr:uid="{00000000-0004-0000-0200-000060000000}"/>
    <hyperlink ref="C124" r:id="rId97" xr:uid="{00000000-0004-0000-0200-000061000000}"/>
    <hyperlink ref="C125" r:id="rId98" xr:uid="{00000000-0004-0000-0200-000062000000}"/>
    <hyperlink ref="C126" r:id="rId99" xr:uid="{00000000-0004-0000-0200-000063000000}"/>
    <hyperlink ref="C129" r:id="rId100" xr:uid="{00000000-0004-0000-0200-000064000000}"/>
    <hyperlink ref="D129" r:id="rId101" xr:uid="{00000000-0004-0000-0200-000065000000}"/>
    <hyperlink ref="C130" r:id="rId102" xr:uid="{00000000-0004-0000-0200-000066000000}"/>
    <hyperlink ref="C131" r:id="rId103" xr:uid="{00000000-0004-0000-0200-000067000000}"/>
    <hyperlink ref="C136" r:id="rId104" xr:uid="{00000000-0004-0000-0200-000068000000}"/>
    <hyperlink ref="C137" r:id="rId105" xr:uid="{00000000-0004-0000-0200-000069000000}"/>
    <hyperlink ref="C140" r:id="rId106" xr:uid="{00000000-0004-0000-0200-00006A000000}"/>
    <hyperlink ref="C143" r:id="rId107" xr:uid="{00000000-0004-0000-0200-00006B000000}"/>
    <hyperlink ref="C146" r:id="rId108" xr:uid="{00000000-0004-0000-0200-00006C000000}"/>
    <hyperlink ref="D146" r:id="rId109" xr:uid="{00000000-0004-0000-0200-00006D000000}"/>
    <hyperlink ref="C147" r:id="rId110" xr:uid="{00000000-0004-0000-0200-00006E000000}"/>
    <hyperlink ref="C149" r:id="rId111" xr:uid="{00000000-0004-0000-0200-00006F000000}"/>
    <hyperlink ref="C152" r:id="rId112" xr:uid="{00000000-0004-0000-0200-000070000000}"/>
    <hyperlink ref="C153" r:id="rId113" xr:uid="{00000000-0004-0000-0200-000071000000}"/>
    <hyperlink ref="C154" r:id="rId114" xr:uid="{00000000-0004-0000-0200-000072000000}"/>
    <hyperlink ref="C155" r:id="rId115" xr:uid="{00000000-0004-0000-0200-000073000000}"/>
    <hyperlink ref="C156" r:id="rId116" xr:uid="{00000000-0004-0000-0200-000074000000}"/>
    <hyperlink ref="C157" r:id="rId117" xr:uid="{00000000-0004-0000-0200-000075000000}"/>
    <hyperlink ref="C158" r:id="rId118" xr:uid="{00000000-0004-0000-0200-000076000000}"/>
    <hyperlink ref="C159" r:id="rId119" xr:uid="{00000000-0004-0000-0200-000077000000}"/>
    <hyperlink ref="C160" r:id="rId120" xr:uid="{00000000-0004-0000-0200-000078000000}"/>
    <hyperlink ref="C161" r:id="rId121" xr:uid="{00000000-0004-0000-0200-000079000000}"/>
    <hyperlink ref="C162" r:id="rId122" xr:uid="{00000000-0004-0000-0200-00007A000000}"/>
    <hyperlink ref="C163" r:id="rId123" xr:uid="{00000000-0004-0000-0200-00007B000000}"/>
    <hyperlink ref="C166" r:id="rId124" xr:uid="{00000000-0004-0000-0200-00007C000000}"/>
    <hyperlink ref="C167" r:id="rId125" xr:uid="{00000000-0004-0000-0200-00007D000000}"/>
    <hyperlink ref="C168" r:id="rId126" xr:uid="{00000000-0004-0000-0200-00007E000000}"/>
    <hyperlink ref="D168" r:id="rId127" xr:uid="{00000000-0004-0000-0200-00007F000000}"/>
    <hyperlink ref="C169" r:id="rId128" xr:uid="{00000000-0004-0000-0200-000080000000}"/>
    <hyperlink ref="C172" r:id="rId129" xr:uid="{00000000-0004-0000-0200-000081000000}"/>
    <hyperlink ref="C173" r:id="rId130" xr:uid="{00000000-0004-0000-0200-000082000000}"/>
    <hyperlink ref="C174" r:id="rId131" xr:uid="{00000000-0004-0000-0200-000083000000}"/>
    <hyperlink ref="C175" r:id="rId132" xr:uid="{00000000-0004-0000-0200-000084000000}"/>
    <hyperlink ref="C176" r:id="rId133" xr:uid="{00000000-0004-0000-0200-000085000000}"/>
    <hyperlink ref="D176" r:id="rId134" xr:uid="{00000000-0004-0000-0200-000086000000}"/>
    <hyperlink ref="C177" r:id="rId135" xr:uid="{00000000-0004-0000-0200-000087000000}"/>
    <hyperlink ref="C178" r:id="rId136" xr:uid="{00000000-0004-0000-0200-000088000000}"/>
    <hyperlink ref="C179" r:id="rId137" xr:uid="{00000000-0004-0000-0200-000089000000}"/>
    <hyperlink ref="C182" r:id="rId138" xr:uid="{00000000-0004-0000-0200-00008A000000}"/>
    <hyperlink ref="C183" r:id="rId139" xr:uid="{00000000-0004-0000-0200-00008B000000}"/>
    <hyperlink ref="C184" r:id="rId140" xr:uid="{00000000-0004-0000-0200-00008C000000}"/>
    <hyperlink ref="C185" r:id="rId141" xr:uid="{00000000-0004-0000-0200-00008D000000}"/>
    <hyperlink ref="C188" r:id="rId142" xr:uid="{00000000-0004-0000-0200-00008E000000}"/>
    <hyperlink ref="C189" r:id="rId143" xr:uid="{00000000-0004-0000-0200-00008F000000}"/>
    <hyperlink ref="C190" r:id="rId144" xr:uid="{00000000-0004-0000-0200-000090000000}"/>
    <hyperlink ref="C191" r:id="rId145" xr:uid="{00000000-0004-0000-0200-000091000000}"/>
    <hyperlink ref="C192" r:id="rId146" xr:uid="{00000000-0004-0000-0200-000092000000}"/>
    <hyperlink ref="C195" r:id="rId147" xr:uid="{00000000-0004-0000-0200-000093000000}"/>
    <hyperlink ref="C196" r:id="rId148" xr:uid="{00000000-0004-0000-0200-000094000000}"/>
    <hyperlink ref="C199" r:id="rId149" xr:uid="{00000000-0004-0000-0200-000095000000}"/>
    <hyperlink ref="C200" r:id="rId150" xr:uid="{00000000-0004-0000-0200-000096000000}"/>
    <hyperlink ref="C201" r:id="rId151" xr:uid="{00000000-0004-0000-0200-000097000000}"/>
    <hyperlink ref="C204" r:id="rId152" xr:uid="{00000000-0004-0000-0200-000098000000}"/>
    <hyperlink ref="C205" r:id="rId153" xr:uid="{00000000-0004-0000-0200-000099000000}"/>
    <hyperlink ref="C206" r:id="rId154" xr:uid="{00000000-0004-0000-0200-00009A000000}"/>
    <hyperlink ref="C207" r:id="rId155" xr:uid="{00000000-0004-0000-0200-00009B000000}"/>
    <hyperlink ref="C208" r:id="rId156" xr:uid="{00000000-0004-0000-0200-00009C000000}"/>
    <hyperlink ref="C209" r:id="rId157" xr:uid="{00000000-0004-0000-0200-00009D000000}"/>
    <hyperlink ref="C210" r:id="rId158" xr:uid="{00000000-0004-0000-0200-00009E000000}"/>
    <hyperlink ref="C211" r:id="rId159" xr:uid="{00000000-0004-0000-0200-00009F000000}"/>
    <hyperlink ref="C212" r:id="rId160" xr:uid="{00000000-0004-0000-0200-0000A0000000}"/>
    <hyperlink ref="C213" r:id="rId161" xr:uid="{00000000-0004-0000-0200-0000A1000000}"/>
    <hyperlink ref="C214" r:id="rId162" xr:uid="{00000000-0004-0000-0200-0000A2000000}"/>
    <hyperlink ref="C215" r:id="rId163" xr:uid="{00000000-0004-0000-0200-0000A3000000}"/>
    <hyperlink ref="C216" r:id="rId164" xr:uid="{00000000-0004-0000-0200-0000A4000000}"/>
    <hyperlink ref="C217" r:id="rId165" xr:uid="{00000000-0004-0000-0200-0000A5000000}"/>
    <hyperlink ref="C218" r:id="rId166" xr:uid="{00000000-0004-0000-0200-0000A6000000}"/>
    <hyperlink ref="C219" r:id="rId167" xr:uid="{00000000-0004-0000-0200-0000A7000000}"/>
    <hyperlink ref="C220" r:id="rId168" xr:uid="{00000000-0004-0000-0200-0000A8000000}"/>
    <hyperlink ref="C221" r:id="rId169" xr:uid="{00000000-0004-0000-0200-0000A9000000}"/>
    <hyperlink ref="C222" r:id="rId170" xr:uid="{00000000-0004-0000-0200-0000AA000000}"/>
    <hyperlink ref="C223" r:id="rId171" xr:uid="{00000000-0004-0000-0200-0000AB000000}"/>
    <hyperlink ref="C227" r:id="rId172" xr:uid="{00000000-0004-0000-0200-0000AC000000}"/>
    <hyperlink ref="C228" r:id="rId173" xr:uid="{00000000-0004-0000-0200-0000AD000000}"/>
    <hyperlink ref="C229" r:id="rId174" xr:uid="{00000000-0004-0000-0200-0000AE000000}"/>
    <hyperlink ref="C230" r:id="rId175" xr:uid="{00000000-0004-0000-0200-0000AF000000}"/>
    <hyperlink ref="C231" r:id="rId176" xr:uid="{00000000-0004-0000-0200-0000B0000000}"/>
    <hyperlink ref="C234" r:id="rId177" xr:uid="{00000000-0004-0000-0200-0000B1000000}"/>
    <hyperlink ref="C235" r:id="rId178" xr:uid="{00000000-0004-0000-0200-0000B2000000}"/>
    <hyperlink ref="C236" r:id="rId179" xr:uid="{00000000-0004-0000-0200-0000B3000000}"/>
    <hyperlink ref="C237" r:id="rId180" xr:uid="{00000000-0004-0000-0200-0000B4000000}"/>
    <hyperlink ref="C238" r:id="rId181" xr:uid="{00000000-0004-0000-0200-0000B5000000}"/>
    <hyperlink ref="C241" r:id="rId182" xr:uid="{00000000-0004-0000-0200-0000B6000000}"/>
    <hyperlink ref="C242" r:id="rId183" xr:uid="{00000000-0004-0000-0200-0000B7000000}"/>
    <hyperlink ref="C243" r:id="rId184" xr:uid="{00000000-0004-0000-0200-0000B8000000}"/>
    <hyperlink ref="C244" r:id="rId185" xr:uid="{00000000-0004-0000-0200-0000B9000000}"/>
    <hyperlink ref="C245" r:id="rId186" xr:uid="{00000000-0004-0000-0200-0000BA000000}"/>
    <hyperlink ref="C246" r:id="rId187" xr:uid="{00000000-0004-0000-0200-0000BB000000}"/>
    <hyperlink ref="C247" r:id="rId188" xr:uid="{00000000-0004-0000-0200-0000BC000000}"/>
    <hyperlink ref="C248" r:id="rId189" xr:uid="{00000000-0004-0000-0200-0000BD000000}"/>
    <hyperlink ref="C249" r:id="rId190" xr:uid="{00000000-0004-0000-0200-0000BE000000}"/>
    <hyperlink ref="D249" r:id="rId191" xr:uid="{00000000-0004-0000-0200-0000BF000000}"/>
    <hyperlink ref="C250" r:id="rId192" xr:uid="{00000000-0004-0000-0200-0000C0000000}"/>
    <hyperlink ref="C251" r:id="rId193" xr:uid="{00000000-0004-0000-0200-0000C1000000}"/>
    <hyperlink ref="C252" r:id="rId194" xr:uid="{00000000-0004-0000-0200-0000C2000000}"/>
    <hyperlink ref="C255" r:id="rId195" xr:uid="{00000000-0004-0000-0200-0000C3000000}"/>
    <hyperlink ref="C256" r:id="rId196" xr:uid="{00000000-0004-0000-0200-0000C4000000}"/>
    <hyperlink ref="C257" r:id="rId197" xr:uid="{00000000-0004-0000-0200-0000C5000000}"/>
    <hyperlink ref="C260" r:id="rId198" xr:uid="{00000000-0004-0000-0200-0000C6000000}"/>
    <hyperlink ref="C261" r:id="rId199" xr:uid="{00000000-0004-0000-0200-0000C7000000}"/>
    <hyperlink ref="C262" r:id="rId200" xr:uid="{00000000-0004-0000-0200-0000C8000000}"/>
    <hyperlink ref="C263" r:id="rId201" xr:uid="{00000000-0004-0000-0200-0000C9000000}"/>
    <hyperlink ref="C264" r:id="rId202" xr:uid="{00000000-0004-0000-0200-0000CA000000}"/>
    <hyperlink ref="C265" r:id="rId203" xr:uid="{00000000-0004-0000-0200-0000CB000000}"/>
    <hyperlink ref="C268" r:id="rId204" xr:uid="{00000000-0004-0000-0200-0000CC000000}"/>
    <hyperlink ref="C269" r:id="rId205" xr:uid="{00000000-0004-0000-0200-0000CD000000}"/>
    <hyperlink ref="C270" r:id="rId206" xr:uid="{00000000-0004-0000-0200-0000CE000000}"/>
    <hyperlink ref="C271" r:id="rId207" xr:uid="{00000000-0004-0000-0200-0000CF000000}"/>
    <hyperlink ref="C272" r:id="rId208" xr:uid="{00000000-0004-0000-0200-0000D0000000}"/>
    <hyperlink ref="C273" r:id="rId209" xr:uid="{00000000-0004-0000-0200-0000D1000000}"/>
    <hyperlink ref="C276" r:id="rId210" xr:uid="{00000000-0004-0000-0200-0000D2000000}"/>
    <hyperlink ref="C277" r:id="rId211" xr:uid="{00000000-0004-0000-0200-0000D3000000}"/>
    <hyperlink ref="C278" r:id="rId212" xr:uid="{00000000-0004-0000-0200-0000D4000000}"/>
    <hyperlink ref="C282" r:id="rId213" xr:uid="{00000000-0004-0000-0200-0000D5000000}"/>
    <hyperlink ref="C283" r:id="rId214" xr:uid="{00000000-0004-0000-0200-0000D6000000}"/>
    <hyperlink ref="D283" r:id="rId215" xr:uid="{00000000-0004-0000-0200-0000D7000000}"/>
    <hyperlink ref="C284" r:id="rId216" xr:uid="{00000000-0004-0000-0200-0000D8000000}"/>
    <hyperlink ref="C285" r:id="rId217" xr:uid="{00000000-0004-0000-0200-0000D9000000}"/>
    <hyperlink ref="C286" r:id="rId218" xr:uid="{00000000-0004-0000-0200-0000DA000000}"/>
    <hyperlink ref="C287" r:id="rId219" xr:uid="{00000000-0004-0000-0200-0000DB000000}"/>
    <hyperlink ref="C288" r:id="rId220" xr:uid="{00000000-0004-0000-0200-0000DC000000}"/>
    <hyperlink ref="C289" r:id="rId221" xr:uid="{00000000-0004-0000-0200-0000DD000000}"/>
    <hyperlink ref="C290" r:id="rId222" xr:uid="{00000000-0004-0000-0200-0000DE000000}"/>
    <hyperlink ref="C291" r:id="rId223" xr:uid="{00000000-0004-0000-0200-0000DF000000}"/>
    <hyperlink ref="C292" r:id="rId224" xr:uid="{00000000-0004-0000-0200-0000E0000000}"/>
    <hyperlink ref="C293" r:id="rId225" xr:uid="{00000000-0004-0000-0200-0000E1000000}"/>
    <hyperlink ref="C294" r:id="rId226" xr:uid="{00000000-0004-0000-0200-0000E2000000}"/>
    <hyperlink ref="C295" r:id="rId227" xr:uid="{00000000-0004-0000-0200-0000E3000000}"/>
    <hyperlink ref="C296" r:id="rId228" xr:uid="{00000000-0004-0000-0200-0000E4000000}"/>
    <hyperlink ref="C297" r:id="rId229" xr:uid="{00000000-0004-0000-0200-0000E5000000}"/>
    <hyperlink ref="C298" r:id="rId230" xr:uid="{00000000-0004-0000-0200-0000E6000000}"/>
    <hyperlink ref="D298" r:id="rId231" xr:uid="{00000000-0004-0000-0200-0000E7000000}"/>
    <hyperlink ref="C299" r:id="rId232" xr:uid="{00000000-0004-0000-0200-0000E8000000}"/>
    <hyperlink ref="C300" r:id="rId233" xr:uid="{00000000-0004-0000-0200-0000E9000000}"/>
    <hyperlink ref="C301" r:id="rId234" xr:uid="{00000000-0004-0000-0200-0000EA000000}"/>
    <hyperlink ref="D301" r:id="rId235" xr:uid="{00000000-0004-0000-0200-0000EB000000}"/>
    <hyperlink ref="C302" r:id="rId236" xr:uid="{00000000-0004-0000-0200-0000EC000000}"/>
    <hyperlink ref="D302" r:id="rId237" xr:uid="{00000000-0004-0000-0200-0000ED000000}"/>
    <hyperlink ref="C303" r:id="rId238" xr:uid="{00000000-0004-0000-0200-0000EE000000}"/>
    <hyperlink ref="C304" r:id="rId239" xr:uid="{00000000-0004-0000-0200-0000EF000000}"/>
    <hyperlink ref="C305" r:id="rId240" xr:uid="{00000000-0004-0000-0200-0000F0000000}"/>
    <hyperlink ref="C306" r:id="rId241" xr:uid="{00000000-0004-0000-0200-0000F1000000}"/>
    <hyperlink ref="C307" r:id="rId242" xr:uid="{00000000-0004-0000-0200-0000F2000000}"/>
    <hyperlink ref="D307" r:id="rId243" xr:uid="{00000000-0004-0000-0200-0000F3000000}"/>
    <hyperlink ref="C308" r:id="rId244" xr:uid="{00000000-0004-0000-0200-0000F4000000}"/>
    <hyperlink ref="C309" r:id="rId245" xr:uid="{00000000-0004-0000-0200-0000F5000000}"/>
    <hyperlink ref="C310" r:id="rId246" xr:uid="{00000000-0004-0000-0200-0000F6000000}"/>
    <hyperlink ref="C311" r:id="rId247" xr:uid="{00000000-0004-0000-0200-0000F7000000}"/>
    <hyperlink ref="C312" r:id="rId248" xr:uid="{00000000-0004-0000-0200-0000F8000000}"/>
    <hyperlink ref="D312" r:id="rId249" xr:uid="{00000000-0004-0000-0200-0000F9000000}"/>
    <hyperlink ref="C313" r:id="rId250" xr:uid="{00000000-0004-0000-0200-0000FA000000}"/>
    <hyperlink ref="C314" r:id="rId251" xr:uid="{00000000-0004-0000-0200-0000FB000000}"/>
    <hyperlink ref="C315" r:id="rId252" xr:uid="{00000000-0004-0000-0200-0000FC000000}"/>
    <hyperlink ref="C316" r:id="rId253" xr:uid="{00000000-0004-0000-0200-0000FD000000}"/>
    <hyperlink ref="C317" r:id="rId254" xr:uid="{00000000-0004-0000-0200-0000FE000000}"/>
    <hyperlink ref="C318" r:id="rId255" xr:uid="{00000000-0004-0000-0200-0000FF000000}"/>
    <hyperlink ref="C319" r:id="rId256" xr:uid="{00000000-0004-0000-0200-000000010000}"/>
    <hyperlink ref="C320" r:id="rId257" xr:uid="{00000000-0004-0000-0200-000001010000}"/>
    <hyperlink ref="C321" r:id="rId258" xr:uid="{00000000-0004-0000-0200-000002010000}"/>
    <hyperlink ref="C322" r:id="rId259" xr:uid="{00000000-0004-0000-0200-000003010000}"/>
    <hyperlink ref="C325" r:id="rId260" xr:uid="{00000000-0004-0000-0200-000004010000}"/>
    <hyperlink ref="C326" r:id="rId261" xr:uid="{00000000-0004-0000-0200-000005010000}"/>
    <hyperlink ref="C327" r:id="rId262" xr:uid="{00000000-0004-0000-0200-000006010000}"/>
    <hyperlink ref="C328" r:id="rId263" xr:uid="{00000000-0004-0000-0200-000007010000}"/>
    <hyperlink ref="C329" r:id="rId264" xr:uid="{00000000-0004-0000-0200-000008010000}"/>
    <hyperlink ref="C330" r:id="rId265" xr:uid="{00000000-0004-0000-0200-000009010000}"/>
    <hyperlink ref="C333" r:id="rId266" xr:uid="{00000000-0004-0000-0200-00000A010000}"/>
    <hyperlink ref="C334" r:id="rId267" xr:uid="{00000000-0004-0000-0200-00000B010000}"/>
    <hyperlink ref="C337" r:id="rId268" xr:uid="{00000000-0004-0000-0200-00000C010000}"/>
    <hyperlink ref="C338" r:id="rId269" xr:uid="{00000000-0004-0000-0200-00000D010000}"/>
    <hyperlink ref="C339" r:id="rId270" xr:uid="{00000000-0004-0000-0200-00000E010000}"/>
    <hyperlink ref="C340" r:id="rId271" xr:uid="{00000000-0004-0000-0200-00000F010000}"/>
    <hyperlink ref="C341" r:id="rId272" xr:uid="{00000000-0004-0000-0200-000010010000}"/>
    <hyperlink ref="C342" r:id="rId273" xr:uid="{00000000-0004-0000-0200-000011010000}"/>
    <hyperlink ref="C343" r:id="rId274" xr:uid="{00000000-0004-0000-0200-000012010000}"/>
    <hyperlink ref="C344" r:id="rId275" xr:uid="{00000000-0004-0000-0200-000013010000}"/>
    <hyperlink ref="C345" r:id="rId276" xr:uid="{00000000-0004-0000-0200-000014010000}"/>
    <hyperlink ref="C346" r:id="rId277" xr:uid="{00000000-0004-0000-0200-000015010000}"/>
    <hyperlink ref="C347" r:id="rId278" xr:uid="{00000000-0004-0000-0200-000016010000}"/>
    <hyperlink ref="C348" r:id="rId279" xr:uid="{00000000-0004-0000-0200-000017010000}"/>
    <hyperlink ref="C349" r:id="rId280" xr:uid="{00000000-0004-0000-0200-000018010000}"/>
    <hyperlink ref="C350" r:id="rId281" xr:uid="{00000000-0004-0000-0200-000019010000}"/>
    <hyperlink ref="C351" r:id="rId282" xr:uid="{00000000-0004-0000-0200-00001A010000}"/>
    <hyperlink ref="C352" r:id="rId283" xr:uid="{00000000-0004-0000-0200-00001B010000}"/>
    <hyperlink ref="C353" r:id="rId284" xr:uid="{00000000-0004-0000-0200-00001C010000}"/>
    <hyperlink ref="C354" r:id="rId285" xr:uid="{00000000-0004-0000-0200-00001D010000}"/>
    <hyperlink ref="C148" r:id="rId286" xr:uid="{D6C2D89D-F336-4F46-BECB-F0B452493CF9}"/>
    <hyperlink ref="C357" r:id="rId287" xr:uid="{FE184EF0-49A9-4D4C-8876-E4695B253BA3}"/>
    <hyperlink ref="C358" r:id="rId288" xr:uid="{8C770F55-B0FC-4BD5-923D-312119F88E24}"/>
    <hyperlink ref="C359" r:id="rId289" xr:uid="{8CFF0241-6160-42D3-BC6F-7A7813790A7F}"/>
    <hyperlink ref="C360" r:id="rId290" xr:uid="{686C2630-9CAB-446C-8922-5B98045B3332}"/>
    <hyperlink ref="C361" r:id="rId291" xr:uid="{648CABB8-B3B5-4B5D-891F-6B9423D5DE50}"/>
    <hyperlink ref="C377" r:id="rId292" xr:uid="{F7E6A031-77FF-47AE-AAC0-A469E4CA3357}"/>
    <hyperlink ref="D54" r:id="rId293" xr:uid="{D5C1CFCD-F2F0-4315-B817-0C397AA92F7C}"/>
    <hyperlink ref="C382" r:id="rId294" xr:uid="{20C90401-CF80-448E-9D0F-0199F91E6E48}"/>
    <hyperlink ref="C387" r:id="rId295" xr:uid="{45F5BE78-A315-48F7-90FD-171AAB59B07B}"/>
    <hyperlink ref="C362" r:id="rId296" xr:uid="{35A38E6C-F6B8-4C60-B425-DA7B15786C9F}"/>
    <hyperlink ref="C383" r:id="rId297" xr:uid="{783831CE-92A7-4D3C-903C-45030B5D74F5}"/>
    <hyperlink ref="C378" r:id="rId298" xr:uid="{8C6DDFE1-6800-4CCF-A67B-EC1E95E3CA5F}"/>
    <hyperlink ref="C379" r:id="rId299" xr:uid="{C00B69FC-3F0D-4924-BE7A-89427D7D919A}"/>
    <hyperlink ref="C397" r:id="rId300" tooltip="Examen médical d'un esturgeon noir au Biodôme de Montréal" xr:uid="{C3CAAF23-C129-4FD7-BE00-525369EF47BE}"/>
    <hyperlink ref="C224" r:id="rId301" tooltip="Portrait d'une chercheuse/conseillère scientifique au Biodôme de Montréal" xr:uid="{48E4F5BA-EEC0-4705-9840-CC7CE6D35250}"/>
    <hyperlink ref="C363" r:id="rId302" tooltip="Portrait d'une chercheuse/conseillère scientifique au Biodôme de Montréal" xr:uid="{6B01E947-122B-4BE2-A6D5-18D584134A7B}"/>
    <hyperlink ref="C384" r:id="rId303" tooltip="Coulisses du spectacle EXO au Planétarium" xr:uid="{FF4A8C9F-E16F-4C48-A76F-8FB4ED11F8BF}"/>
    <hyperlink ref="C388" r:id="rId304" tooltip="Coulisses du spectacle EXO au Planétarium" xr:uid="{E2BA6EDB-9298-4BDA-95C2-54FD498A619D}"/>
    <hyperlink ref="C132" r:id="rId305" tooltip="Interview Nil Rahola - Ingénieur d'Étude en Entomologie Médicale" xr:uid="{7E8F719F-4246-4378-A8ED-DB08B7EEA95C}"/>
    <hyperlink ref="C364" r:id="rId306" tooltip="Interview Nil Rahola - Ingénieur d'Étude en Entomologie Médicale" xr:uid="{283E4D6D-36AA-4194-BA5C-9CB6D6C39E1D}"/>
    <hyperlink ref="C133" r:id="rId307" tooltip="Interview Louis Clément Gouagna - Chargé de Recherche" xr:uid="{DB0459B3-E86D-40C8-8D6C-19695D7C21FA}"/>
    <hyperlink ref="C365" r:id="rId308" tooltip="Interview Louis Clément Gouagna - Chargé de Recherche" xr:uid="{C6C0D115-38AF-4B37-A574-4AFB077DC26D}"/>
    <hyperlink ref="C100" r:id="rId309" tooltip="Interview de Mégann - Ingénieure biomatériaux chez Lattice" xr:uid="{A1B9F72A-840D-47E7-84B2-D982BC8DA23A}"/>
    <hyperlink ref="C368" r:id="rId310" tooltip="Interview de Mégann - Ingénieure biomatériaux chez Lattice" xr:uid="{CC69DF05-4E82-46C6-88CB-F0EDAFA10C7B}"/>
    <hyperlink ref="C371" r:id="rId311" tooltip="Portrait d'enseignant - Valérie, professeure de SVT" xr:uid="{81F0F6B7-115D-4A78-A9A4-D90AD7ADA0C9}"/>
    <hyperlink ref="C279" r:id="rId312" tooltip="Le métier d'ingénieure environnement - Hélène Delmas, Eiffage" xr:uid="{623CAEDE-52A2-4605-A3A1-C97526D7CFA9}"/>
    <hyperlink ref="C374" r:id="rId313" tooltip="Le métier d'ingénieure environnement - Hélène Delmas, Eiffage" xr:uid="{15125E95-6361-4D69-8621-0FD25707D747}"/>
    <hyperlink ref="C391" r:id="rId314" tooltip="Vivre de la production de champignons bio en circuit court" xr:uid="{9CED59C2-70D8-4E06-8DD8-CACDD78C4E1F}"/>
    <hyperlink ref="C67" r:id="rId315" tooltip="Clémentine Fritsch, chercheuse en écotoxicologie | Talents CNRS" xr:uid="{4575FA55-8F87-4720-AC98-77CD7BE04B95}"/>
    <hyperlink ref="C394" r:id="rId316" tooltip="Clémentine Fritsch, chercheuse en écotoxicologie | Talents CNRS" xr:uid="{0AD042E2-2BF3-4589-A544-F9B9AA3FA869}"/>
  </hyperlinks>
  <printOptions horizontalCentered="1"/>
  <pageMargins left="0.25" right="0.25" top="0.5" bottom="0.5" header="0" footer="0"/>
  <pageSetup paperSize="9" fitToHeight="0" orientation="portrait"/>
  <drawing r:id="rId3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071A4-ED62-44C6-B1B0-95874DB0678C}">
  <dimension ref="A1:B48"/>
  <sheetViews>
    <sheetView topLeftCell="A2" workbookViewId="0">
      <selection activeCell="G333" sqref="G333"/>
    </sheetView>
  </sheetViews>
  <sheetFormatPr baseColWidth="10" defaultRowHeight="14.4" x14ac:dyDescent="0.3"/>
  <cols>
    <col min="1" max="2" width="59.21875" customWidth="1"/>
  </cols>
  <sheetData>
    <row r="1" spans="1:2" ht="15" thickBot="1" x14ac:dyDescent="0.35">
      <c r="A1" s="57" t="s">
        <v>670</v>
      </c>
      <c r="B1" s="57" t="s">
        <v>602</v>
      </c>
    </row>
    <row r="2" spans="1:2" x14ac:dyDescent="0.3">
      <c r="A2" s="60" t="s">
        <v>671</v>
      </c>
      <c r="B2" s="61" t="s">
        <v>87</v>
      </c>
    </row>
    <row r="3" spans="1:2" x14ac:dyDescent="0.3">
      <c r="A3" s="58" t="s">
        <v>671</v>
      </c>
      <c r="B3" s="59" t="s">
        <v>142</v>
      </c>
    </row>
    <row r="4" spans="1:2" x14ac:dyDescent="0.3">
      <c r="A4" s="58" t="s">
        <v>671</v>
      </c>
      <c r="B4" s="59" t="s">
        <v>156</v>
      </c>
    </row>
    <row r="5" spans="1:2" x14ac:dyDescent="0.3">
      <c r="A5" s="58" t="s">
        <v>671</v>
      </c>
      <c r="B5" s="59" t="s">
        <v>161</v>
      </c>
    </row>
    <row r="6" spans="1:2" x14ac:dyDescent="0.3">
      <c r="A6" s="58" t="s">
        <v>671</v>
      </c>
      <c r="B6" s="59" t="s">
        <v>253</v>
      </c>
    </row>
    <row r="7" spans="1:2" x14ac:dyDescent="0.3">
      <c r="A7" s="58" t="s">
        <v>671</v>
      </c>
      <c r="B7" s="59" t="s">
        <v>165</v>
      </c>
    </row>
    <row r="8" spans="1:2" x14ac:dyDescent="0.3">
      <c r="A8" s="58" t="s">
        <v>671</v>
      </c>
      <c r="B8" s="59" t="s">
        <v>130</v>
      </c>
    </row>
    <row r="9" spans="1:2" x14ac:dyDescent="0.3">
      <c r="A9" s="58" t="s">
        <v>671</v>
      </c>
      <c r="B9" s="59" t="s">
        <v>541</v>
      </c>
    </row>
    <row r="10" spans="1:2" x14ac:dyDescent="0.3">
      <c r="A10" s="58" t="s">
        <v>671</v>
      </c>
      <c r="B10" s="59" t="s">
        <v>425</v>
      </c>
    </row>
    <row r="11" spans="1:2" ht="15" thickBot="1" x14ac:dyDescent="0.35">
      <c r="A11" s="58" t="s">
        <v>671</v>
      </c>
      <c r="B11" s="59" t="s">
        <v>333</v>
      </c>
    </row>
    <row r="12" spans="1:2" x14ac:dyDescent="0.3">
      <c r="A12" s="60" t="s">
        <v>672</v>
      </c>
      <c r="B12" s="63" t="s">
        <v>8</v>
      </c>
    </row>
    <row r="13" spans="1:2" x14ac:dyDescent="0.3">
      <c r="A13" s="58" t="s">
        <v>672</v>
      </c>
      <c r="B13" s="62" t="s">
        <v>27</v>
      </c>
    </row>
    <row r="14" spans="1:2" x14ac:dyDescent="0.3">
      <c r="A14" s="58" t="s">
        <v>672</v>
      </c>
      <c r="B14" s="62" t="s">
        <v>579</v>
      </c>
    </row>
    <row r="15" spans="1:2" x14ac:dyDescent="0.3">
      <c r="A15" s="58" t="s">
        <v>672</v>
      </c>
      <c r="B15" s="62" t="s">
        <v>247</v>
      </c>
    </row>
    <row r="16" spans="1:2" x14ac:dyDescent="0.3">
      <c r="A16" s="58" t="s">
        <v>672</v>
      </c>
      <c r="B16" s="62" t="s">
        <v>588</v>
      </c>
    </row>
    <row r="17" spans="1:2" ht="15" thickBot="1" x14ac:dyDescent="0.35">
      <c r="A17" s="58" t="s">
        <v>672</v>
      </c>
      <c r="B17" s="62" t="s">
        <v>593</v>
      </c>
    </row>
    <row r="18" spans="1:2" x14ac:dyDescent="0.3">
      <c r="A18" s="60" t="s">
        <v>673</v>
      </c>
      <c r="B18" s="61" t="s">
        <v>97</v>
      </c>
    </row>
    <row r="19" spans="1:2" x14ac:dyDescent="0.3">
      <c r="A19" s="58" t="s">
        <v>673</v>
      </c>
      <c r="B19" s="59" t="s">
        <v>231</v>
      </c>
    </row>
    <row r="20" spans="1:2" ht="15" thickBot="1" x14ac:dyDescent="0.35">
      <c r="A20" s="58" t="s">
        <v>673</v>
      </c>
      <c r="B20" s="59" t="s">
        <v>586</v>
      </c>
    </row>
    <row r="21" spans="1:2" x14ac:dyDescent="0.3">
      <c r="A21" s="60" t="s">
        <v>674</v>
      </c>
      <c r="B21" s="63" t="s">
        <v>277</v>
      </c>
    </row>
    <row r="22" spans="1:2" x14ac:dyDescent="0.3">
      <c r="A22" s="58" t="s">
        <v>674</v>
      </c>
      <c r="B22" s="62" t="s">
        <v>287</v>
      </c>
    </row>
    <row r="23" spans="1:2" x14ac:dyDescent="0.3">
      <c r="A23" s="58" t="s">
        <v>674</v>
      </c>
      <c r="B23" s="62" t="s">
        <v>305</v>
      </c>
    </row>
    <row r="24" spans="1:2" x14ac:dyDescent="0.3">
      <c r="A24" s="58" t="s">
        <v>674</v>
      </c>
      <c r="B24" s="62" t="s">
        <v>315</v>
      </c>
    </row>
    <row r="25" spans="1:2" x14ac:dyDescent="0.3">
      <c r="A25" s="58" t="s">
        <v>674</v>
      </c>
      <c r="B25" s="62" t="s">
        <v>392</v>
      </c>
    </row>
    <row r="26" spans="1:2" x14ac:dyDescent="0.3">
      <c r="A26" s="58" t="s">
        <v>674</v>
      </c>
      <c r="B26" s="62" t="s">
        <v>341</v>
      </c>
    </row>
    <row r="27" spans="1:2" x14ac:dyDescent="0.3">
      <c r="A27" s="58" t="s">
        <v>674</v>
      </c>
      <c r="B27" s="62" t="s">
        <v>238</v>
      </c>
    </row>
    <row r="28" spans="1:2" ht="15" thickBot="1" x14ac:dyDescent="0.35">
      <c r="A28" s="58" t="s">
        <v>674</v>
      </c>
      <c r="B28" s="62" t="s">
        <v>327</v>
      </c>
    </row>
    <row r="29" spans="1:2" x14ac:dyDescent="0.3">
      <c r="A29" s="60" t="s">
        <v>675</v>
      </c>
      <c r="B29" s="61" t="s">
        <v>462</v>
      </c>
    </row>
    <row r="30" spans="1:2" x14ac:dyDescent="0.3">
      <c r="A30" s="58" t="s">
        <v>675</v>
      </c>
      <c r="B30" s="59" t="s">
        <v>532</v>
      </c>
    </row>
    <row r="31" spans="1:2" x14ac:dyDescent="0.3">
      <c r="A31" s="58" t="s">
        <v>675</v>
      </c>
      <c r="B31" s="59" t="s">
        <v>404</v>
      </c>
    </row>
    <row r="32" spans="1:2" x14ac:dyDescent="0.3">
      <c r="A32" s="58" t="s">
        <v>675</v>
      </c>
      <c r="B32" s="59" t="s">
        <v>223</v>
      </c>
    </row>
    <row r="33" spans="1:2" x14ac:dyDescent="0.3">
      <c r="A33" s="58" t="s">
        <v>675</v>
      </c>
      <c r="B33" s="59" t="s">
        <v>380</v>
      </c>
    </row>
    <row r="34" spans="1:2" x14ac:dyDescent="0.3">
      <c r="A34" s="58" t="s">
        <v>675</v>
      </c>
      <c r="B34" s="59" t="s">
        <v>186</v>
      </c>
    </row>
    <row r="35" spans="1:2" x14ac:dyDescent="0.3">
      <c r="A35" s="58" t="s">
        <v>675</v>
      </c>
      <c r="B35" s="59" t="s">
        <v>595</v>
      </c>
    </row>
    <row r="36" spans="1:2" ht="15" thickBot="1" x14ac:dyDescent="0.35">
      <c r="A36" s="58" t="s">
        <v>675</v>
      </c>
      <c r="B36" s="59" t="s">
        <v>443</v>
      </c>
    </row>
    <row r="37" spans="1:2" ht="15" thickBot="1" x14ac:dyDescent="0.35">
      <c r="A37" s="60" t="s">
        <v>676</v>
      </c>
      <c r="B37" s="63" t="s">
        <v>597</v>
      </c>
    </row>
    <row r="38" spans="1:2" x14ac:dyDescent="0.3">
      <c r="A38" s="60" t="s">
        <v>677</v>
      </c>
      <c r="B38" s="61" t="s">
        <v>196</v>
      </c>
    </row>
    <row r="39" spans="1:2" x14ac:dyDescent="0.3">
      <c r="A39" s="58" t="s">
        <v>677</v>
      </c>
      <c r="B39" s="59" t="s">
        <v>433</v>
      </c>
    </row>
    <row r="40" spans="1:2" ht="15" thickBot="1" x14ac:dyDescent="0.35">
      <c r="A40" s="58" t="s">
        <v>675</v>
      </c>
      <c r="B40" s="59" t="s">
        <v>582</v>
      </c>
    </row>
    <row r="41" spans="1:2" x14ac:dyDescent="0.3">
      <c r="A41" s="60" t="s">
        <v>678</v>
      </c>
      <c r="B41" s="63" t="s">
        <v>212</v>
      </c>
    </row>
    <row r="42" spans="1:2" x14ac:dyDescent="0.3">
      <c r="A42" s="58" t="s">
        <v>678</v>
      </c>
      <c r="B42" s="62" t="s">
        <v>179</v>
      </c>
    </row>
    <row r="43" spans="1:2" x14ac:dyDescent="0.3">
      <c r="A43" s="58" t="s">
        <v>678</v>
      </c>
      <c r="B43" s="62" t="s">
        <v>242</v>
      </c>
    </row>
    <row r="44" spans="1:2" ht="15" thickBot="1" x14ac:dyDescent="0.35">
      <c r="A44" s="58" t="s">
        <v>678</v>
      </c>
      <c r="B44" s="62" t="s">
        <v>454</v>
      </c>
    </row>
    <row r="45" spans="1:2" x14ac:dyDescent="0.3">
      <c r="A45" s="60" t="s">
        <v>679</v>
      </c>
      <c r="B45" s="61" t="s">
        <v>590</v>
      </c>
    </row>
    <row r="46" spans="1:2" x14ac:dyDescent="0.3">
      <c r="A46" s="58" t="s">
        <v>679</v>
      </c>
      <c r="B46" s="59" t="s">
        <v>707</v>
      </c>
    </row>
    <row r="47" spans="1:2" ht="15" thickBot="1" x14ac:dyDescent="0.35">
      <c r="A47" s="58" t="s">
        <v>679</v>
      </c>
      <c r="B47" s="59" t="s">
        <v>584</v>
      </c>
    </row>
    <row r="48" spans="1:2" x14ac:dyDescent="0.3">
      <c r="A48" s="60" t="s">
        <v>680</v>
      </c>
      <c r="B48" s="63" t="s">
        <v>548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Sommaire</vt:lpstr>
      <vt:lpstr>Mode d'emploi</vt:lpstr>
      <vt:lpstr>Présentations métiers</vt:lpstr>
      <vt:lpstr>Regroupements</vt:lpstr>
      <vt:lpstr>'Présentations métiers'!DébutSemaine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Bollori</cp:lastModifiedBy>
  <dcterms:created xsi:type="dcterms:W3CDTF">2026-04-14T07:01:01Z</dcterms:created>
  <dcterms:modified xsi:type="dcterms:W3CDTF">2026-07-04T01:21:03Z</dcterms:modified>
</cp:coreProperties>
</file>