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cas\Documents\Orientation SVT\"/>
    </mc:Choice>
  </mc:AlternateContent>
  <xr:revisionPtr revIDLastSave="0" documentId="13_ncr:1_{896D1F17-06D8-4A73-805E-1E2A9D6FF37A}" xr6:coauthVersionLast="47" xr6:coauthVersionMax="47" xr10:uidLastSave="{00000000-0000-0000-0000-000000000000}"/>
  <bookViews>
    <workbookView xWindow="-108" yWindow="-108" windowWidth="23256" windowHeight="12456" activeTab="2" xr2:uid="{00000000-000D-0000-FFFF-FFFF00000000}"/>
  </bookViews>
  <sheets>
    <sheet name="Sommaire" sheetId="1" r:id="rId1"/>
    <sheet name="Mode d'emploi" sheetId="2" r:id="rId2"/>
    <sheet name="Présentations métiers" sheetId="3" r:id="rId3"/>
    <sheet name="Regroupements" sheetId="4" r:id="rId4"/>
  </sheets>
  <definedNames>
    <definedName name="DébutSemaine" localSheetId="2">'Présentations métiers'!$G$2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1" i="3" l="1"/>
  <c r="E191" i="3"/>
  <c r="I189" i="3"/>
  <c r="E189" i="3"/>
  <c r="I906" i="3"/>
  <c r="F906" i="3"/>
  <c r="E906" i="3"/>
  <c r="I919" i="3"/>
  <c r="F919" i="3"/>
  <c r="E919" i="3"/>
  <c r="I225" i="3"/>
  <c r="F225" i="3"/>
  <c r="E225" i="3"/>
  <c r="I511" i="3"/>
  <c r="F511" i="3"/>
  <c r="E511" i="3"/>
  <c r="I625" i="3"/>
  <c r="E625" i="3"/>
  <c r="I187" i="3"/>
  <c r="E187" i="3"/>
  <c r="I905" i="3"/>
  <c r="F905" i="3"/>
  <c r="E905" i="3"/>
  <c r="I186" i="3"/>
  <c r="E186" i="3"/>
  <c r="I185" i="3"/>
  <c r="E185" i="3"/>
  <c r="I184" i="3"/>
  <c r="E184" i="3"/>
  <c r="I183" i="3"/>
  <c r="E183" i="3"/>
  <c r="I166" i="3"/>
  <c r="E166" i="3"/>
  <c r="I182" i="3"/>
  <c r="E182" i="3"/>
  <c r="I181" i="3"/>
  <c r="E181" i="3"/>
  <c r="I180" i="3"/>
  <c r="E180" i="3"/>
  <c r="I179" i="3"/>
  <c r="E179" i="3"/>
  <c r="I178" i="3"/>
  <c r="E178" i="3"/>
  <c r="I904" i="3"/>
  <c r="F904" i="3"/>
  <c r="E904" i="3"/>
  <c r="I177" i="3"/>
  <c r="E177" i="3"/>
  <c r="I176" i="3"/>
  <c r="E176" i="3"/>
  <c r="I172" i="3"/>
  <c r="E172" i="3"/>
  <c r="I169" i="3"/>
  <c r="E169" i="3"/>
  <c r="B53" i="1"/>
  <c r="I21" i="3"/>
  <c r="E21" i="3"/>
  <c r="I147" i="3"/>
  <c r="E147" i="3"/>
  <c r="I91" i="3"/>
  <c r="E91" i="3"/>
  <c r="I146" i="3"/>
  <c r="E146" i="3"/>
  <c r="I90" i="3"/>
  <c r="E90" i="3"/>
  <c r="I145" i="3"/>
  <c r="E145" i="3"/>
  <c r="I391" i="3"/>
  <c r="E391" i="3"/>
  <c r="I473" i="3"/>
  <c r="E473" i="3"/>
  <c r="I89" i="3"/>
  <c r="E89" i="3"/>
  <c r="I390" i="3"/>
  <c r="E390" i="3"/>
  <c r="I88" i="3"/>
  <c r="E88" i="3"/>
  <c r="I472" i="3"/>
  <c r="E472" i="3"/>
  <c r="I20" i="3"/>
  <c r="E20" i="3"/>
  <c r="I87" i="3"/>
  <c r="E87" i="3"/>
  <c r="I211" i="3"/>
  <c r="F211" i="3"/>
  <c r="E211" i="3"/>
  <c r="I389" i="3"/>
  <c r="E389" i="3"/>
  <c r="I425" i="3"/>
  <c r="F425" i="3"/>
  <c r="E425" i="3"/>
  <c r="I624" i="3"/>
  <c r="E624" i="3"/>
  <c r="I663" i="3"/>
  <c r="E663" i="3"/>
  <c r="I52" i="3"/>
  <c r="E52" i="3"/>
  <c r="I288" i="3"/>
  <c r="E288" i="3"/>
  <c r="I534" i="3"/>
  <c r="E534" i="3"/>
  <c r="I287" i="3"/>
  <c r="E287" i="3"/>
  <c r="I19" i="3"/>
  <c r="E19" i="3"/>
  <c r="I106" i="3"/>
  <c r="E106" i="3"/>
  <c r="I313" i="3"/>
  <c r="F313" i="3"/>
  <c r="E313" i="3"/>
  <c r="I362" i="3"/>
  <c r="F362" i="3"/>
  <c r="E362" i="3"/>
  <c r="I424" i="3"/>
  <c r="F424" i="3"/>
  <c r="E424" i="3"/>
  <c r="I86" i="3"/>
  <c r="E86" i="3"/>
  <c r="I105" i="3"/>
  <c r="E105" i="3"/>
  <c r="I388" i="3"/>
  <c r="E388" i="3"/>
  <c r="F65" i="3"/>
  <c r="I65" i="3"/>
  <c r="E65" i="3"/>
  <c r="I104" i="3"/>
  <c r="E104" i="3"/>
  <c r="I144" i="3"/>
  <c r="E144" i="3"/>
  <c r="I116" i="3"/>
  <c r="E116" i="3"/>
  <c r="I286" i="3"/>
  <c r="E286" i="3"/>
  <c r="I115" i="3"/>
  <c r="E115" i="3"/>
  <c r="I312" i="3"/>
  <c r="E312" i="3"/>
  <c r="F312" i="3"/>
  <c r="I440" i="3"/>
  <c r="E440" i="3"/>
  <c r="I85" i="3"/>
  <c r="E85" i="3"/>
  <c r="I464" i="3"/>
  <c r="E464" i="3"/>
  <c r="I18" i="3"/>
  <c r="E18" i="3"/>
  <c r="I143" i="3"/>
  <c r="E143" i="3"/>
  <c r="I17" i="3"/>
  <c r="E17" i="3"/>
  <c r="I387" i="3"/>
  <c r="E387" i="3"/>
  <c r="I497" i="3"/>
  <c r="E497" i="3"/>
  <c r="I84" i="3"/>
  <c r="E84" i="3"/>
  <c r="I386" i="3"/>
  <c r="E386" i="3"/>
  <c r="I471" i="3"/>
  <c r="E471" i="3"/>
  <c r="I463" i="3"/>
  <c r="E463" i="3"/>
  <c r="I385" i="3"/>
  <c r="E385" i="3"/>
  <c r="I16" i="3"/>
  <c r="E16" i="3"/>
  <c r="I462" i="3"/>
  <c r="E462" i="3"/>
  <c r="I210" i="3"/>
  <c r="F210" i="3"/>
  <c r="E210" i="3"/>
  <c r="I361" i="3"/>
  <c r="F361" i="3"/>
  <c r="E361" i="3"/>
  <c r="I83" i="3"/>
  <c r="E83" i="3"/>
  <c r="I78" i="3"/>
  <c r="E78" i="3"/>
  <c r="I377" i="3"/>
  <c r="E377" i="3"/>
  <c r="I77" i="3"/>
  <c r="E77" i="3"/>
  <c r="I285" i="3"/>
  <c r="E285" i="3"/>
  <c r="I112" i="3"/>
  <c r="E112" i="3"/>
  <c r="I822" i="3"/>
  <c r="F822" i="3"/>
  <c r="E822" i="3"/>
  <c r="I12" i="3"/>
  <c r="E12" i="3"/>
  <c r="I446" i="3"/>
  <c r="E446" i="3"/>
  <c r="I142" i="3"/>
  <c r="E142" i="3"/>
  <c r="I662" i="3"/>
  <c r="E662" i="3"/>
  <c r="I76" i="3"/>
  <c r="E76" i="3"/>
  <c r="I141" i="3"/>
  <c r="E141" i="3"/>
  <c r="I75" i="3"/>
  <c r="E75" i="3"/>
  <c r="I562" i="3"/>
  <c r="F562" i="3"/>
  <c r="E562" i="3"/>
  <c r="I103" i="3"/>
  <c r="E103" i="3"/>
  <c r="F238" i="3"/>
  <c r="I238" i="3"/>
  <c r="E238" i="3"/>
  <c r="I74" i="3"/>
  <c r="E74" i="3"/>
  <c r="I470" i="3"/>
  <c r="E470" i="3"/>
  <c r="I311" i="3"/>
  <c r="F311" i="3"/>
  <c r="E311" i="3"/>
  <c r="I11" i="3"/>
  <c r="E11" i="3"/>
  <c r="I102" i="3"/>
  <c r="E102" i="3"/>
  <c r="I310" i="3"/>
  <c r="F310" i="3"/>
  <c r="E310" i="3"/>
  <c r="I73" i="3"/>
  <c r="E73" i="3"/>
  <c r="I415" i="3"/>
  <c r="F415" i="3"/>
  <c r="E415" i="3"/>
  <c r="I72" i="3"/>
  <c r="E72" i="3"/>
  <c r="I101" i="3"/>
  <c r="E101" i="3"/>
  <c r="I100" i="3"/>
  <c r="E100" i="3"/>
  <c r="I284" i="3"/>
  <c r="E284" i="3"/>
  <c r="I376" i="3"/>
  <c r="E376" i="3"/>
  <c r="I561" i="3"/>
  <c r="E561" i="3"/>
  <c r="I375" i="3"/>
  <c r="E375" i="3"/>
  <c r="I10" i="3"/>
  <c r="E10" i="3"/>
  <c r="I581" i="3"/>
  <c r="E581" i="3"/>
  <c r="I577" i="3"/>
  <c r="E577" i="3"/>
  <c r="I576" i="3"/>
  <c r="E576" i="3"/>
  <c r="I844" i="3"/>
  <c r="E844" i="3"/>
  <c r="I341" i="3"/>
  <c r="F341" i="3"/>
  <c r="E341" i="3"/>
  <c r="I340" i="3"/>
  <c r="F340" i="3"/>
  <c r="E340" i="3"/>
  <c r="I339" i="3"/>
  <c r="F339" i="3"/>
  <c r="E339" i="3"/>
  <c r="I293" i="3"/>
  <c r="F293" i="3"/>
  <c r="E293" i="3"/>
  <c r="I296" i="3"/>
  <c r="F296" i="3"/>
  <c r="E296" i="3"/>
  <c r="I572" i="3"/>
  <c r="F572" i="3"/>
  <c r="E572" i="3"/>
  <c r="I704" i="3"/>
  <c r="E704" i="3"/>
  <c r="I755" i="3"/>
  <c r="F755" i="3"/>
  <c r="E755" i="3"/>
  <c r="I754" i="3"/>
  <c r="F754" i="3"/>
  <c r="E754" i="3"/>
  <c r="I684" i="3"/>
  <c r="E684" i="3"/>
  <c r="I683" i="3"/>
  <c r="E683" i="3"/>
  <c r="I682" i="3"/>
  <c r="E682" i="3"/>
  <c r="I718" i="3"/>
  <c r="F718" i="3"/>
  <c r="E718" i="3"/>
  <c r="I723" i="3"/>
  <c r="F723" i="3"/>
  <c r="E723" i="3"/>
  <c r="I575" i="3"/>
  <c r="E575" i="3"/>
  <c r="I661" i="3"/>
  <c r="E661" i="3"/>
  <c r="I780" i="3"/>
  <c r="F780" i="3"/>
  <c r="E780" i="3"/>
  <c r="I647" i="3"/>
  <c r="F647" i="3"/>
  <c r="E647" i="3"/>
  <c r="I827" i="3"/>
  <c r="F827" i="3"/>
  <c r="E827" i="3"/>
  <c r="I196" i="3"/>
  <c r="F196" i="3"/>
  <c r="E196" i="3"/>
  <c r="I786" i="3"/>
  <c r="F786" i="3"/>
  <c r="E786" i="3"/>
  <c r="I31" i="3"/>
  <c r="E31" i="3"/>
  <c r="I788" i="3"/>
  <c r="F788" i="3"/>
  <c r="E788" i="3"/>
  <c r="I649" i="3"/>
  <c r="F649" i="3"/>
  <c r="E649" i="3"/>
  <c r="I264" i="3"/>
  <c r="F264" i="3"/>
  <c r="E264" i="3"/>
  <c r="I262" i="3"/>
  <c r="F262" i="3"/>
  <c r="E262" i="3"/>
  <c r="I843" i="3"/>
  <c r="E843" i="3"/>
  <c r="I670" i="3"/>
  <c r="E670" i="3"/>
  <c r="I805" i="3"/>
  <c r="F805" i="3"/>
  <c r="E805" i="3"/>
  <c r="I654" i="3"/>
  <c r="E654" i="3"/>
  <c r="I789" i="3"/>
  <c r="F789" i="3"/>
  <c r="E789" i="3"/>
  <c r="I648" i="3"/>
  <c r="F648" i="3"/>
  <c r="E648" i="3"/>
  <c r="I153" i="3"/>
  <c r="F153" i="3"/>
  <c r="E153" i="3"/>
  <c r="I165" i="3"/>
  <c r="E165" i="3"/>
  <c r="I784" i="3"/>
  <c r="F784" i="3"/>
  <c r="E784" i="3"/>
  <c r="I794" i="3"/>
  <c r="F794" i="3"/>
  <c r="E794" i="3"/>
  <c r="I195" i="3"/>
  <c r="F195" i="3"/>
  <c r="E195" i="3"/>
  <c r="I359" i="3"/>
  <c r="F359" i="3"/>
  <c r="E359" i="3"/>
  <c r="I450" i="3"/>
  <c r="E450" i="3"/>
  <c r="I224" i="3"/>
  <c r="F224" i="3"/>
  <c r="E224" i="3"/>
  <c r="I223" i="3"/>
  <c r="F223" i="3"/>
  <c r="E223" i="3"/>
  <c r="I222" i="3"/>
  <c r="F222" i="3"/>
  <c r="E222" i="3"/>
  <c r="I571" i="3"/>
  <c r="F571" i="3"/>
  <c r="E571" i="3"/>
  <c r="I656" i="3"/>
  <c r="E656" i="3"/>
  <c r="I570" i="3"/>
  <c r="F570" i="3"/>
  <c r="E570" i="3"/>
  <c r="I569" i="3"/>
  <c r="F569" i="3"/>
  <c r="E569" i="3"/>
  <c r="I334" i="3"/>
  <c r="F334" i="3"/>
  <c r="E334" i="3"/>
  <c r="I333" i="3"/>
  <c r="F333" i="3"/>
  <c r="E333" i="3"/>
  <c r="I332" i="3"/>
  <c r="F332" i="3"/>
  <c r="E332" i="3"/>
  <c r="I331" i="3"/>
  <c r="F331" i="3"/>
  <c r="E331" i="3"/>
  <c r="I328" i="3"/>
  <c r="F328" i="3"/>
  <c r="E328" i="3"/>
  <c r="I320" i="3"/>
  <c r="F320" i="3"/>
  <c r="E320" i="3"/>
  <c r="I319" i="3"/>
  <c r="F319" i="3"/>
  <c r="E319" i="3"/>
  <c r="I318" i="3"/>
  <c r="F318" i="3"/>
  <c r="E318" i="3"/>
  <c r="I309" i="3"/>
  <c r="F309" i="3"/>
  <c r="E309" i="3"/>
  <c r="B70" i="1"/>
  <c r="B69" i="1"/>
  <c r="B68" i="1"/>
  <c r="B67" i="1"/>
  <c r="B66" i="1"/>
  <c r="B65" i="1"/>
  <c r="B64" i="1"/>
  <c r="B63" i="1"/>
  <c r="B62" i="1"/>
  <c r="B61" i="1"/>
  <c r="B60" i="1"/>
  <c r="B59" i="1"/>
  <c r="B58" i="1"/>
  <c r="B57" i="1"/>
  <c r="B56" i="1"/>
  <c r="B55" i="1"/>
  <c r="B54"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I900" i="3"/>
  <c r="F900" i="3"/>
  <c r="E900" i="3"/>
  <c r="I263" i="3"/>
  <c r="F263" i="3"/>
  <c r="E263" i="3"/>
  <c r="I579" i="3"/>
  <c r="H579" i="3"/>
  <c r="E579" i="3"/>
  <c r="I255" i="3"/>
  <c r="H255" i="3"/>
  <c r="F255" i="3"/>
  <c r="E255" i="3"/>
  <c r="I256" i="3"/>
  <c r="H256" i="3"/>
  <c r="F256" i="3"/>
  <c r="E256" i="3"/>
  <c r="I254" i="3"/>
  <c r="H254" i="3"/>
  <c r="F254" i="3"/>
  <c r="E254" i="3"/>
  <c r="I253" i="3"/>
  <c r="H253" i="3"/>
  <c r="F253" i="3"/>
  <c r="E253" i="3"/>
  <c r="I252" i="3"/>
  <c r="H252" i="3"/>
  <c r="F252" i="3"/>
  <c r="E252" i="3"/>
  <c r="I479" i="3"/>
  <c r="E479" i="3"/>
  <c r="I236" i="3"/>
  <c r="F236" i="3"/>
  <c r="E236" i="3"/>
  <c r="I235" i="3"/>
  <c r="F235" i="3"/>
  <c r="E235" i="3"/>
  <c r="I234" i="3"/>
  <c r="H234" i="3"/>
  <c r="F234" i="3"/>
  <c r="E234" i="3"/>
  <c r="I371" i="3"/>
  <c r="E371" i="3"/>
  <c r="I369" i="3"/>
  <c r="H369" i="3"/>
  <c r="E369" i="3"/>
  <c r="I368" i="3"/>
  <c r="H368" i="3"/>
  <c r="E368" i="3"/>
  <c r="I669" i="3"/>
  <c r="H669" i="3"/>
  <c r="E669" i="3"/>
  <c r="I667" i="3"/>
  <c r="E667" i="3"/>
  <c r="I666" i="3"/>
  <c r="H666" i="3"/>
  <c r="E666" i="3"/>
  <c r="B74" i="1"/>
  <c r="B3" i="1"/>
  <c r="I655" i="3"/>
  <c r="E655" i="3"/>
  <c r="I653" i="3"/>
  <c r="E653" i="3"/>
  <c r="I645" i="3"/>
  <c r="E645" i="3"/>
  <c r="I642" i="3"/>
  <c r="E642" i="3"/>
  <c r="I641" i="3"/>
  <c r="E641" i="3"/>
  <c r="I637" i="3"/>
  <c r="E637" i="3"/>
  <c r="I636" i="3"/>
  <c r="E636" i="3"/>
  <c r="I630" i="3"/>
  <c r="E630" i="3"/>
  <c r="I629" i="3"/>
  <c r="E629" i="3"/>
  <c r="I628" i="3"/>
  <c r="E628" i="3"/>
  <c r="I622" i="3"/>
  <c r="E622" i="3"/>
  <c r="I619" i="3"/>
  <c r="E619" i="3"/>
  <c r="I618" i="3"/>
  <c r="E618" i="3"/>
  <c r="I615" i="3"/>
  <c r="E615" i="3"/>
  <c r="I614" i="3"/>
  <c r="E614" i="3"/>
  <c r="I613" i="3"/>
  <c r="E613" i="3"/>
  <c r="F609" i="3"/>
  <c r="F608" i="3"/>
  <c r="I602" i="3"/>
  <c r="F602" i="3"/>
  <c r="E602" i="3"/>
  <c r="I601" i="3"/>
  <c r="F601" i="3"/>
  <c r="E601" i="3"/>
  <c r="I594" i="3"/>
  <c r="E594" i="3"/>
  <c r="I593" i="3"/>
  <c r="E593" i="3"/>
  <c r="I592" i="3"/>
  <c r="E592" i="3"/>
  <c r="I591" i="3"/>
  <c r="E591" i="3"/>
  <c r="I590" i="3"/>
  <c r="E590" i="3"/>
  <c r="I587" i="3"/>
  <c r="E587" i="3"/>
  <c r="I586" i="3"/>
  <c r="E586" i="3"/>
  <c r="I585" i="3"/>
  <c r="E585" i="3"/>
  <c r="I578" i="3"/>
  <c r="I580" i="3" s="1"/>
  <c r="I582" i="3" s="1"/>
  <c r="I583" i="3" s="1"/>
  <c r="I584" i="3" s="1"/>
  <c r="E578" i="3"/>
  <c r="E580" i="3" s="1"/>
  <c r="E582" i="3" s="1"/>
  <c r="E583" i="3" s="1"/>
  <c r="E584" i="3" s="1"/>
  <c r="F568" i="3"/>
  <c r="I567" i="3"/>
  <c r="F567" i="3"/>
  <c r="E567" i="3"/>
  <c r="F566" i="3"/>
  <c r="I565" i="3"/>
  <c r="F565" i="3"/>
  <c r="E565" i="3"/>
  <c r="I548" i="3"/>
  <c r="I549" i="3" s="1"/>
  <c r="I550" i="3" s="1"/>
  <c r="I551" i="3" s="1"/>
  <c r="I552" i="3" s="1"/>
  <c r="I553" i="3" s="1"/>
  <c r="I554" i="3" s="1"/>
  <c r="I555" i="3" s="1"/>
  <c r="I556" i="3" s="1"/>
  <c r="I557" i="3" s="1"/>
  <c r="I558" i="3" s="1"/>
  <c r="I559" i="3" s="1"/>
  <c r="I560" i="3" s="1"/>
  <c r="E548" i="3"/>
  <c r="E549" i="3" s="1"/>
  <c r="E550" i="3" s="1"/>
  <c r="E551" i="3" s="1"/>
  <c r="E552" i="3" s="1"/>
  <c r="E553" i="3" s="1"/>
  <c r="E554" i="3" s="1"/>
  <c r="E555" i="3" s="1"/>
  <c r="E556" i="3" s="1"/>
  <c r="E557" i="3" s="1"/>
  <c r="E558" i="3" s="1"/>
  <c r="E559" i="3" s="1"/>
  <c r="E560" i="3" s="1"/>
  <c r="I545" i="3"/>
  <c r="E545" i="3"/>
  <c r="I544" i="3"/>
  <c r="E544" i="3"/>
  <c r="I542" i="3"/>
  <c r="I543" i="3" s="1"/>
  <c r="E542" i="3"/>
  <c r="E543" i="3" s="1"/>
  <c r="I541" i="3"/>
  <c r="E541" i="3"/>
  <c r="I540" i="3"/>
  <c r="E540" i="3"/>
  <c r="I539" i="3"/>
  <c r="E539" i="3"/>
  <c r="I538" i="3"/>
  <c r="E538" i="3"/>
  <c r="I537" i="3"/>
  <c r="E537" i="3"/>
  <c r="I509" i="3"/>
  <c r="F509" i="3"/>
  <c r="E509" i="3"/>
  <c r="I506" i="3"/>
  <c r="I507" i="3" s="1"/>
  <c r="I508" i="3" s="1"/>
  <c r="F506" i="3"/>
  <c r="F507" i="3" s="1"/>
  <c r="F508" i="3" s="1"/>
  <c r="E506" i="3"/>
  <c r="E507" i="3" s="1"/>
  <c r="E508" i="3" s="1"/>
  <c r="I505" i="3"/>
  <c r="F505" i="3"/>
  <c r="E505" i="3"/>
  <c r="I504" i="3"/>
  <c r="F504" i="3"/>
  <c r="E504" i="3"/>
  <c r="I503" i="3"/>
  <c r="F503" i="3"/>
  <c r="E503" i="3"/>
  <c r="I423" i="3"/>
  <c r="F423" i="3"/>
  <c r="E423" i="3"/>
  <c r="I417" i="3"/>
  <c r="F417" i="3"/>
  <c r="E417" i="3"/>
  <c r="I416" i="3"/>
  <c r="F416" i="3"/>
  <c r="E416" i="3"/>
  <c r="I360" i="3"/>
  <c r="F360" i="3"/>
  <c r="E360" i="3"/>
  <c r="I307" i="3"/>
  <c r="F307" i="3"/>
  <c r="E307" i="3"/>
  <c r="I306" i="3"/>
  <c r="F306" i="3"/>
  <c r="E306" i="3"/>
  <c r="I305" i="3"/>
  <c r="F305" i="3"/>
  <c r="E305" i="3"/>
  <c r="I304" i="3"/>
  <c r="F304" i="3"/>
  <c r="E304" i="3"/>
  <c r="I303" i="3"/>
  <c r="F303" i="3"/>
  <c r="E303" i="3"/>
  <c r="I302" i="3"/>
  <c r="F302" i="3"/>
  <c r="E302" i="3"/>
  <c r="I301" i="3"/>
  <c r="F301" i="3"/>
  <c r="E301" i="3"/>
  <c r="I300" i="3"/>
  <c r="F300" i="3"/>
  <c r="E300" i="3"/>
  <c r="I272" i="3"/>
  <c r="E272" i="3"/>
  <c r="I265" i="3"/>
  <c r="F265" i="3"/>
  <c r="E265" i="3"/>
  <c r="I261" i="3"/>
  <c r="E261" i="3"/>
  <c r="I260" i="3"/>
  <c r="E260" i="3"/>
  <c r="I243" i="3"/>
  <c r="E243" i="3"/>
  <c r="I232" i="3"/>
  <c r="F232" i="3"/>
  <c r="E232" i="3"/>
  <c r="I231" i="3"/>
  <c r="F231" i="3"/>
  <c r="E231" i="3"/>
  <c r="I221" i="3"/>
  <c r="F221" i="3"/>
  <c r="E221" i="3"/>
  <c r="I220" i="3"/>
  <c r="F220" i="3"/>
  <c r="E220" i="3"/>
  <c r="I209" i="3"/>
  <c r="F209" i="3"/>
  <c r="E209" i="3"/>
  <c r="I208" i="3"/>
  <c r="F208" i="3"/>
  <c r="E208" i="3"/>
  <c r="I198" i="3"/>
  <c r="I199" i="3" s="1"/>
  <c r="I200" i="3" s="1"/>
  <c r="F198" i="3"/>
  <c r="F199" i="3" s="1"/>
  <c r="F200" i="3" s="1"/>
  <c r="E198" i="3"/>
  <c r="E199" i="3" s="1"/>
  <c r="E200" i="3" s="1"/>
  <c r="I197" i="3"/>
  <c r="F197" i="3"/>
  <c r="E197" i="3"/>
  <c r="I154" i="3"/>
  <c r="I155" i="3" s="1"/>
  <c r="F154" i="3"/>
  <c r="F155" i="3" s="1"/>
  <c r="E154" i="3"/>
  <c r="E155" i="3" s="1"/>
  <c r="I140" i="3"/>
  <c r="E140" i="3"/>
  <c r="I139" i="3"/>
  <c r="E139" i="3"/>
  <c r="I138" i="3"/>
  <c r="E138" i="3"/>
  <c r="I137" i="3"/>
  <c r="E137" i="3"/>
  <c r="I136" i="3"/>
  <c r="E136" i="3"/>
  <c r="I135" i="3"/>
  <c r="E135" i="3"/>
  <c r="I134" i="3"/>
  <c r="E134" i="3"/>
  <c r="I133" i="3"/>
  <c r="E133" i="3"/>
  <c r="I132" i="3"/>
  <c r="E132" i="3"/>
  <c r="I131" i="3"/>
  <c r="E131" i="3"/>
  <c r="I130" i="3"/>
  <c r="E130" i="3"/>
  <c r="I129" i="3"/>
  <c r="E129" i="3"/>
  <c r="I128" i="3"/>
  <c r="E128" i="3"/>
  <c r="I111" i="3"/>
  <c r="E111" i="3"/>
  <c r="I64" i="3"/>
  <c r="F64" i="3"/>
  <c r="E64" i="3"/>
  <c r="I61" i="3"/>
  <c r="I62" i="3" s="1"/>
  <c r="I63" i="3" s="1"/>
  <c r="F61" i="3"/>
  <c r="F62" i="3" s="1"/>
  <c r="F63" i="3" s="1"/>
  <c r="E61" i="3"/>
  <c r="E62" i="3" s="1"/>
  <c r="E63" i="3" s="1"/>
  <c r="I49" i="3"/>
  <c r="E49" i="3"/>
  <c r="I47" i="3"/>
  <c r="E47" i="3"/>
  <c r="I43" i="3"/>
  <c r="E43" i="3"/>
  <c r="I42" i="3"/>
  <c r="E42" i="3"/>
  <c r="I41" i="3"/>
  <c r="E41" i="3"/>
  <c r="I35" i="3"/>
  <c r="E35" i="3"/>
  <c r="I14" i="3"/>
  <c r="I15" i="3" s="1"/>
  <c r="E14" i="3"/>
  <c r="E15" i="3" s="1"/>
  <c r="I13" i="3"/>
  <c r="E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Bollori</author>
  </authors>
  <commentList>
    <comment ref="H223" authorId="0" shapeId="0" xr:uid="{E11879D2-CD8E-4468-A8BC-FA4D2E417ED9}">
      <text>
        <r>
          <rPr>
            <b/>
            <sz val="9"/>
            <color indexed="81"/>
            <rFont val="Tahoma"/>
            <charset val="1"/>
          </rPr>
          <t>Lucas Bollori:</t>
        </r>
        <r>
          <rPr>
            <sz val="9"/>
            <color indexed="81"/>
            <rFont val="Tahoma"/>
            <charset val="1"/>
          </rPr>
          <t xml:space="preserve">
Source: economie.gouv.fr, https://www.economie.gouv.fr/dgccrf/devenez-inspecteur-inspectrice-de-la-dgccrf</t>
        </r>
      </text>
    </comment>
    <comment ref="H224" authorId="0" shapeId="0" xr:uid="{DC1A94D9-D23D-4B1A-BD46-2848F37EB95E}">
      <text>
        <r>
          <rPr>
            <b/>
            <sz val="9"/>
            <color indexed="81"/>
            <rFont val="Tahoma"/>
            <charset val="1"/>
          </rPr>
          <t>Lucas Bollori:</t>
        </r>
        <r>
          <rPr>
            <sz val="9"/>
            <color indexed="81"/>
            <rFont val="Tahoma"/>
            <charset val="1"/>
          </rPr>
          <t xml:space="preserve">
Source: economie.gouv.fr, https://www.economie.gouv.fr/dgccrf/devenez-inspecteur-inspectrice-de-la-dgccrf</t>
        </r>
      </text>
    </comment>
    <comment ref="H235" authorId="0" shapeId="0" xr:uid="{1E6B84B7-EA4A-48EE-BD03-3DCF46F418D7}">
      <text>
        <r>
          <rPr>
            <b/>
            <sz val="9"/>
            <color indexed="81"/>
            <rFont val="Tahoma"/>
            <charset val="1"/>
          </rPr>
          <t>Lucas Bollori:</t>
        </r>
        <r>
          <rPr>
            <sz val="9"/>
            <color indexed="81"/>
            <rFont val="Tahoma"/>
            <charset val="1"/>
          </rPr>
          <t xml:space="preserve">
Source: L'Étudiant, https://www.letudiant.fr/metiers/secteur/fonction-publique_1/technicien-sanitaire.html ; Emploipublic, https://infos.emploipublic.fr/article/technicien-sanitaire-et-de-securite-sanitaire-fiche-metier-eea-6128</t>
        </r>
      </text>
    </comment>
    <comment ref="H236" authorId="0" shapeId="0" xr:uid="{3587E987-092D-4B05-89DE-BF3EC6F81F3F}">
      <text>
        <r>
          <rPr>
            <b/>
            <sz val="9"/>
            <color indexed="81"/>
            <rFont val="Tahoma"/>
            <charset val="1"/>
          </rPr>
          <t>Lucas Bollori:</t>
        </r>
        <r>
          <rPr>
            <sz val="9"/>
            <color indexed="81"/>
            <rFont val="Tahoma"/>
            <charset val="1"/>
          </rPr>
          <t xml:space="preserve">
Source: France Compétences (RNCP39311), https://www.francecompetences.fr/recherche/rncp/39311 ; Université de Lorraine, https://formations.univ-lorraine.fr/en/degree-programs/bac4-bac5/master-s-degree/2685-master-intervention-en-promotion-de-la-sante-ips.html</t>
        </r>
      </text>
    </comment>
    <comment ref="H263" authorId="0" shapeId="0" xr:uid="{7D204E83-E671-449A-A8A0-13E130206759}">
      <text>
        <r>
          <rPr>
            <b/>
            <sz val="9"/>
            <color indexed="81"/>
            <rFont val="Tahoma"/>
            <charset val="1"/>
          </rPr>
          <t>Lucas Bollori:</t>
        </r>
        <r>
          <rPr>
            <sz val="9"/>
            <color indexed="81"/>
            <rFont val="Tahoma"/>
            <charset val="1"/>
          </rPr>
          <t xml:space="preserve">
Source: Bordeaux Sciences Agro, https://www.agro-bordeaux.fr/entreprises/recruter/ ; Témoignage vidéo, C'est mon job #22 | Océane Briant, https://www.youtube.com/watch?v=o2j8haEyfck</t>
        </r>
      </text>
    </comment>
    <comment ref="H309" authorId="0" shapeId="0" xr:uid="{93A6F16A-11FE-4E42-A3A5-FC4A5D0D3845}">
      <text>
        <r>
          <rPr>
            <b/>
            <sz val="9"/>
            <color indexed="81"/>
            <rFont val="Tahoma"/>
            <charset val="1"/>
          </rPr>
          <t>Lucas Bollori:</t>
        </r>
        <r>
          <rPr>
            <sz val="9"/>
            <color indexed="81"/>
            <rFont val="Tahoma"/>
            <charset val="1"/>
          </rPr>
          <t xml:space="preserve">
Source: CIDJ, https://www.cidj.com/s-orienter/metiers/volcanologue ; Onisep, https://www.onisep.fr/ressources/univers-metier/metiers/volcanologue</t>
        </r>
      </text>
    </comment>
    <comment ref="H319" authorId="0" shapeId="0" xr:uid="{A351343E-2F83-4A5B-8F96-52203CED07B0}">
      <text>
        <r>
          <rPr>
            <b/>
            <sz val="9"/>
            <color indexed="81"/>
            <rFont val="Tahoma"/>
            <charset val="1"/>
          </rPr>
          <t>Lucas Bollori:</t>
        </r>
        <r>
          <rPr>
            <sz val="9"/>
            <color indexed="81"/>
            <rFont val="Tahoma"/>
            <charset val="1"/>
          </rPr>
          <t xml:space="preserve">
Source: Fête de l'alternance, https://www.fetedelalternance.com/Data/downloads/Media/214-fiche-metiers-pilote-d_installation-granulats.pdf ; France Compétences (RNCP15810), https://www.francecompetences.fr/recherche/rncp/15810/</t>
        </r>
      </text>
    </comment>
    <comment ref="H320" authorId="0" shapeId="0" xr:uid="{027AA069-5A60-4EC4-B6DA-4DFCEDC62CBA}">
      <text>
        <r>
          <rPr>
            <b/>
            <sz val="9"/>
            <color indexed="81"/>
            <rFont val="Tahoma"/>
            <charset val="1"/>
          </rPr>
          <t>Lucas Bollori:</t>
        </r>
        <r>
          <rPr>
            <sz val="9"/>
            <color indexed="81"/>
            <rFont val="Tahoma"/>
            <charset val="1"/>
          </rPr>
          <t xml:space="preserve">
Source: Fête de l'alternance, https://www.fetedelalternance.com/Data/downloads/SalExposant/2300966400-fiche-me-tiers-chef-de-carriere.pdf ; France Compétences (RNCP15277), https://www.francecompetences.fr/recherche/rncp/15277/</t>
        </r>
      </text>
    </comment>
    <comment ref="H370" authorId="0" shapeId="0" xr:uid="{3B222C22-11C0-481D-98E9-61E966216690}">
      <text>
        <r>
          <rPr>
            <b/>
            <sz val="9"/>
            <color indexed="81"/>
            <rFont val="Tahoma"/>
            <charset val="1"/>
          </rPr>
          <t>Lucas Bollori:</t>
        </r>
        <r>
          <rPr>
            <sz val="9"/>
            <color indexed="81"/>
            <rFont val="Tahoma"/>
            <charset val="1"/>
          </rPr>
          <t xml:space="preserve">
Source: Ifremer, https://www.ifremer.fr/en/Nautile40ans</t>
        </r>
      </text>
    </comment>
    <comment ref="H371" authorId="0" shapeId="0" xr:uid="{F3BDD55A-852E-45FB-A110-C3349590B89B}">
      <text>
        <r>
          <rPr>
            <b/>
            <sz val="9"/>
            <color indexed="81"/>
            <rFont val="Tahoma"/>
            <charset val="1"/>
          </rPr>
          <t>Lucas Bollori:</t>
        </r>
        <r>
          <rPr>
            <sz val="9"/>
            <color indexed="81"/>
            <rFont val="Tahoma"/>
            <charset val="1"/>
          </rPr>
          <t xml:space="preserve">
Source: Wikipédia, https://fr.wikipedia.org/wiki/Plongeur_scientifique ; CNRS Délégation Centre-Est, https://www.centre-est.cnrs.fr/fr/le-metier-de-plongeur-scientifique</t>
        </r>
      </text>
    </comment>
    <comment ref="H400" authorId="0" shapeId="0" xr:uid="{E6D8D307-E95B-4FA1-B4AD-334A5BC9763B}">
      <text>
        <r>
          <rPr>
            <b/>
            <sz val="9"/>
            <color indexed="81"/>
            <rFont val="Tahoma"/>
            <charset val="1"/>
          </rPr>
          <t>Lucas Bollori:</t>
        </r>
        <r>
          <rPr>
            <sz val="9"/>
            <color indexed="81"/>
            <rFont val="Tahoma"/>
            <charset val="1"/>
          </rPr>
          <t xml:space="preserve">
Source: Wikipédia, https://fr.wikipedia.org/wiki/Plongeur_scientifique ; CNRS Délégation Centre-Est, https://www.centre-est.cnrs.fr/fr/le-metier-de-plongeur-scientifique</t>
        </r>
      </text>
    </comment>
    <comment ref="H450" authorId="0" shapeId="0" xr:uid="{715F6EF3-ED81-49BC-B414-26B3F1EF1A96}">
      <text>
        <r>
          <rPr>
            <b/>
            <sz val="9"/>
            <color indexed="81"/>
            <rFont val="Tahoma"/>
            <charset val="1"/>
          </rPr>
          <t>Lucas Bollori:</t>
        </r>
        <r>
          <rPr>
            <sz val="9"/>
            <color indexed="81"/>
            <rFont val="Tahoma"/>
            <charset val="1"/>
          </rPr>
          <t xml:space="preserve">
Source: L'Étudiant, https://www.letudiant.fr/etudes/medecine-sante/le-deust-le-nouveau-diplome-a-bac-2-pour-devenir-preparateur-en-pharmacie.html</t>
        </r>
      </text>
    </comment>
    <comment ref="H479" authorId="0" shapeId="0" xr:uid="{0690408C-056C-4DA3-80C9-1A606B2C11F9}">
      <text>
        <r>
          <rPr>
            <b/>
            <sz val="9"/>
            <color indexed="81"/>
            <rFont val="Tahoma"/>
            <charset val="1"/>
          </rPr>
          <t>Lucas Bollori:</t>
        </r>
        <r>
          <rPr>
            <sz val="9"/>
            <color indexed="81"/>
            <rFont val="Tahoma"/>
            <charset val="1"/>
          </rPr>
          <t xml:space="preserve">
Source: Vidéo témoignage, Institut de recherche criminelle de la gendarmerie nationale (IRCGN), https://www.youtube.com/watch?v=4w2fEV6ra_E</t>
        </r>
      </text>
    </comment>
    <comment ref="H656" authorId="0" shapeId="0" xr:uid="{99A514B1-03E1-46F8-976A-472081398BD9}">
      <text>
        <r>
          <rPr>
            <b/>
            <sz val="9"/>
            <color indexed="81"/>
            <rFont val="Tahoma"/>
            <charset val="1"/>
          </rPr>
          <t>Lucas Bollori:</t>
        </r>
        <r>
          <rPr>
            <sz val="9"/>
            <color indexed="81"/>
            <rFont val="Tahoma"/>
            <charset val="1"/>
          </rPr>
          <t xml:space="preserve">
Source: Témoignage vidéo, Métiers de l'eau : technicien de rivière, https://www.youtube.com/watch?v=gdevV-NtR20</t>
        </r>
      </text>
    </comment>
    <comment ref="H667" authorId="0" shapeId="0" xr:uid="{03CE302D-3DEA-41B9-893D-C89CEABBDD51}">
      <text>
        <r>
          <rPr>
            <b/>
            <sz val="9"/>
            <color indexed="81"/>
            <rFont val="Tahoma"/>
            <charset val="1"/>
          </rPr>
          <t>Lucas Bollori:</t>
        </r>
        <r>
          <rPr>
            <sz val="9"/>
            <color indexed="81"/>
            <rFont val="Tahoma"/>
            <charset val="1"/>
          </rPr>
          <t xml:space="preserve">
Source: Elzéar Wine &amp; Spirit, https://www.elzear-wine.com/fr/comment-devenir-maitre-de-chai/ ; CIDJ, https://www.cidj.com/s-orienter/metiers/agent-de-chai-ouvrier-caviste</t>
        </r>
      </text>
    </comment>
    <comment ref="H668" authorId="0" shapeId="0" xr:uid="{C3C2AC59-F420-4075-994A-BA47C77F83AA}">
      <text>
        <r>
          <rPr>
            <b/>
            <sz val="9"/>
            <color indexed="81"/>
            <rFont val="Tahoma"/>
            <charset val="1"/>
          </rPr>
          <t>Lucas Bollori:</t>
        </r>
        <r>
          <rPr>
            <sz val="9"/>
            <color indexed="81"/>
            <rFont val="Tahoma"/>
            <charset val="1"/>
          </rPr>
          <t xml:space="preserve">
Source: ANEFA, https://www.anefa.org/metiers/viticulture/agent-de-chai/ ; CIDJ, https://www.cidj.com/s-orienter/metiers/agent-de-chai-ouvrier-caviste</t>
        </r>
      </text>
    </comment>
    <comment ref="H671" authorId="0" shapeId="0" xr:uid="{BD0B47D5-A421-4D6D-BAEB-1903FC42EAFF}">
      <text>
        <r>
          <rPr>
            <b/>
            <sz val="9"/>
            <color indexed="81"/>
            <rFont val="Tahoma"/>
            <charset val="1"/>
          </rPr>
          <t>Lucas Bollori:</t>
        </r>
        <r>
          <rPr>
            <sz val="9"/>
            <color indexed="81"/>
            <rFont val="Tahoma"/>
            <charset val="1"/>
          </rPr>
          <t xml:space="preserve">
Source: Onisep, https://www.onisep.fr/ressources/univers-formation/formations/post-bac/btsa-technico-commercial-option-vins-bieres-et-spiritueux</t>
        </r>
      </text>
    </comment>
    <comment ref="H672" authorId="0" shapeId="0" xr:uid="{881C0A29-A038-4199-A9C3-BFE40B55CE92}">
      <text>
        <r>
          <rPr>
            <b/>
            <sz val="9"/>
            <color indexed="81"/>
            <rFont val="Tahoma"/>
            <charset val="1"/>
          </rPr>
          <t>Lucas Bollori:</t>
        </r>
        <r>
          <rPr>
            <sz val="9"/>
            <color indexed="81"/>
            <rFont val="Tahoma"/>
            <charset val="1"/>
          </rPr>
          <t xml:space="preserve">
Source: ETCH Formation, https://www.etch-formation.fr/comment-devenir-caviste/ ; Devenir commerçant du goût, http://www.devenircommercantdugout.fr/formation/caviste/le-cqp-vendeur-conseil-caviste/</t>
        </r>
      </text>
    </comment>
    <comment ref="H673" authorId="0" shapeId="0" xr:uid="{4D9B8EA3-3FF0-4C61-9A56-C63B9AA50F75}">
      <text>
        <r>
          <rPr>
            <b/>
            <sz val="9"/>
            <color indexed="81"/>
            <rFont val="Tahoma"/>
            <charset val="1"/>
          </rPr>
          <t>Lucas Bollori:</t>
        </r>
        <r>
          <rPr>
            <sz val="9"/>
            <color indexed="81"/>
            <rFont val="Tahoma"/>
            <charset val="1"/>
          </rPr>
          <t xml:space="preserve">
Source: Meilleurs Masters, https://www.meilleurs-masters.com/article-devenir-responsable-export-vins-et-spiritueux.html ; France Compétences (RNCP36392), https://www.francecompetences.fr/recherche/rncp/36392/</t>
        </r>
      </text>
    </comment>
    <comment ref="H674" authorId="0" shapeId="0" xr:uid="{72DBDD6C-3533-48DE-8F4C-7F851ADAC30D}">
      <text>
        <r>
          <rPr>
            <b/>
            <sz val="9"/>
            <color indexed="81"/>
            <rFont val="Tahoma"/>
            <charset val="1"/>
          </rPr>
          <t>Lucas Bollori:</t>
        </r>
        <r>
          <rPr>
            <sz val="9"/>
            <color indexed="81"/>
            <rFont val="Tahoma"/>
            <charset val="1"/>
          </rPr>
          <t xml:space="preserve">
Source: Bordeaux Sciences Agro, https://www.agro-bordeaux.fr/entreprises/recruter/ ; Témoignage vidéo, C'est mon job #22 | Océane Briant, https://www.youtube.com/watch?v=o2j8haEyfck</t>
        </r>
      </text>
    </comment>
    <comment ref="H787" authorId="0" shapeId="0" xr:uid="{7E8783CB-5725-40E4-A255-3A555C72B183}">
      <text>
        <r>
          <rPr>
            <b/>
            <sz val="9"/>
            <color indexed="81"/>
            <rFont val="Tahoma"/>
            <charset val="1"/>
          </rPr>
          <t>Lucas Bollori:</t>
        </r>
        <r>
          <rPr>
            <sz val="9"/>
            <color indexed="81"/>
            <rFont val="Tahoma"/>
            <charset val="1"/>
          </rPr>
          <t xml:space="preserve">
Source: Témoignage vidéo, Fiche Métier | cheffe de culture sous serre, https://www.youtube.com/watch?v=GerXaXl2I1w</t>
        </r>
      </text>
    </comment>
  </commentList>
</comments>
</file>

<file path=xl/sharedStrings.xml><?xml version="1.0" encoding="utf-8"?>
<sst xmlns="http://schemas.openxmlformats.org/spreadsheetml/2006/main" count="5284" uniqueCount="1716">
  <si>
    <t>← Retour au Sommaire</t>
  </si>
  <si>
    <t>Vidéos d'orientation — Exemples de métiers</t>
  </si>
  <si>
    <t>Métier</t>
  </si>
  <si>
    <t>Vidéo 1</t>
  </si>
  <si>
    <t>Vidéo 2</t>
  </si>
  <si>
    <t>Spécialités (1ère &amp; Tle)</t>
  </si>
  <si>
    <t>Options recommandées</t>
  </si>
  <si>
    <t>Description du métier</t>
  </si>
  <si>
    <t>Études envisageables</t>
  </si>
  <si>
    <t>Combinaisons spé (code)</t>
  </si>
  <si>
    <t>Combinaisons spé métier (code)</t>
  </si>
  <si>
    <t>Niveau</t>
  </si>
  <si>
    <t>Niveau — à vérifier ?</t>
  </si>
  <si>
    <t>SVT + Physique-Chimie ou SVT + Maths</t>
  </si>
  <si>
    <t>Maths compl. (option Tle) si Maths non conservée</t>
  </si>
  <si>
    <t>SVT+PC | SVT+Maths</t>
  </si>
  <si>
    <t>Responsable planification ordonnancement</t>
  </si>
  <si>
    <t>▶ Vidéo</t>
  </si>
  <si>
    <t>Coordonner, rythmer et optimiser le calendrier de production d'une entreprise agroalimentaire</t>
  </si>
  <si>
    <t>Bac+5</t>
  </si>
  <si>
    <t>Leader pôle ordonnancement chez Lesaffre</t>
  </si>
  <si>
    <t>Élabore le plan de production des levures en fonction des prévisions de vente et des commandes, dans le respect des contraintes des ateliers de production et de conditionnement, en coordination avec les services client, production, packaging, entrepôt, transport et qualité.</t>
  </si>
  <si>
    <t>A évolué en interne au sein du même service depuis 1997 (suivi des commandes, approvisionnements, planification) jusqu'à devenir Leader Pôle Ordonnancement en 2017 ; formation initiale non précisée.</t>
  </si>
  <si>
    <t>Bac+2/3</t>
  </si>
  <si>
    <t>Responsable qualité junior</t>
  </si>
  <si>
    <t>Contrôle la conformité des produits alimentaires aux normes sanitaires.</t>
  </si>
  <si>
    <t>Animateur Terra Vitis</t>
  </si>
  <si>
    <t>Conseiller et accompagner les viticulteurs dans leur transition écologique</t>
  </si>
  <si>
    <t>Attachée de développement agronomique et marketing</t>
  </si>
  <si>
    <t>Accompagner et auditer les exploitants dans leur gestion technique, économique et environnementale</t>
  </si>
  <si>
    <t>Ingénieure production conditionnement</t>
  </si>
  <si>
    <t>Piloter le développement, la stratégie marketing et la commercialisation d'un produit agroalimentaire</t>
  </si>
  <si>
    <t>Cheffe de produit Diagorisk - Gestion risques</t>
  </si>
  <si>
    <t>Coordination globale dans l'entreprise pour le produit et gestion des risques</t>
  </si>
  <si>
    <t>Marketing scientifique - Cheffe de projet conception &amp; cheffe de produits extraits</t>
  </si>
  <si>
    <t>Développe des produits à base d'extraits naturels entre science, réglementation et marché.</t>
  </si>
  <si>
    <t>Opérateur / opératrice de fabrication agroalimentaire</t>
  </si>
  <si>
    <t>Conduit les lignes de production et les machines de transformation dans une entreprise agroalimentaire, en veillant au respect des normes d'hygiène et de qualité.</t>
  </si>
  <si>
    <t>Bac / infra</t>
  </si>
  <si>
    <t>Conducteur de ligne de production alimentaire</t>
  </si>
  <si>
    <t>SVT + Maths, SVT + Physique-Chimie, SVT + HGGSP, SVT + NSI, SVT + LLCER ou SVT + HLP</t>
  </si>
  <si>
    <t>Prépare, organise et contrôle les activités d'une ligne de production ou de conditionnement alimentaire complète : approvisionnement en matières premières et en emballages, bon fonctionnement des équipements, contrôle de la qualité des produits et maintenance de premier niveau.</t>
  </si>
  <si>
    <t>Niveau bac suffisant (Bac Pro Pilotage de systèmes de production automatisée, Bac Pro Bio-industries de transformation, Bac techno ou général), avec évolution possible depuis un poste d'opérateur/opératrice de production.</t>
  </si>
  <si>
    <t>SVT+Maths | SVT+PC | SVT+HGGSP | SVT+NSI | SVT+LLCER | SVT+HLP</t>
  </si>
  <si>
    <t>Responsable d'équipe de production agroalimentaire</t>
  </si>
  <si>
    <t>Organise et met en œuvre le programme quotidien de production (moyens humains, matières, techniques de l'unité), anime directement une équipe au moins 50 % de son temps et veille au respect des normes de productivité et de qualité.</t>
  </si>
  <si>
    <t>Formation interne (sans diplôme du supérieur requis) ; évolution possible depuis un poste d'opérateur/opératrice de production.</t>
  </si>
  <si>
    <t>Responsable de production alimentaire</t>
  </si>
  <si>
    <t>Organise la production de manière globale en lien avec le directeur de site industriel : met en œuvre le programme de production dans le respect des délais, des normes de qualité, de sécurité et de protection de l'environnement, et supervise l'ensemble des ateliers (préparation, fabrication, conditionnement).</t>
  </si>
  <si>
    <t>Niveau bac suffisant (Bac Pro, Bac techno ou général), avec évolution possible en interne ou via un BTS/Licence pro production.</t>
  </si>
  <si>
    <t>Responsable de maintenance en agroalimentaire</t>
  </si>
  <si>
    <t>Élabore, pilote et contrôle la politique et les moyens de maintenance : organise, gère et anime les équipes de maintenance pour assurer le maintien des équipements, optimise les moyens à mettre en œuvre et les performances industrielles, et participe à la conception ou à l'installation de nouvelles installations.</t>
  </si>
  <si>
    <t>Niveau bac + 2/3 (BTS Maintenance des systèmes, Licence pro maintenance industrielle) recommandé, avec évolution possible en interne depuis un poste de technicien ou responsable d'équipe de maintenance.</t>
  </si>
  <si>
    <t>Ingénieur agroalimentaire</t>
  </si>
  <si>
    <t>Transforme les matières premières agricoles en produits alimentaires en pilotant recettes, procédés de fabrication et qualité, de la R&amp;D à la production.</t>
  </si>
  <si>
    <t>Responsable recherche et développement alimentaire</t>
  </si>
  <si>
    <t>Définit, oriente et pilote la politique recherche, développement et innovation d'une entreprise agroalimentaire : gère et contrôle les paramètres du service (coûts, investissements, effectifs, stratégie, priorités) et contribue au développement stratégique de l'entreprise en lien avec les services marketing, commercial et développement industriel.</t>
  </si>
  <si>
    <t>Directeur de production chez Lesaffre</t>
  </si>
  <si>
    <t>Dirige la production de la plus grande usine de levure sèche du monde et manage plusieurs centaines de collaborateurs, après un parcours international (Asie, Europe de l'Est, Amérique latine) en ingénierie de production, gestion d'atelier puis direction technique.</t>
  </si>
  <si>
    <t>A débuté par un stage de fin d'études, puis a évolué en poste (ingénieur de production, responsable d'atelier, responsable technique) à l'international avant de devenir directeur de production ; formation initiale non précisée.</t>
  </si>
  <si>
    <t>Chef de projet industriel chez Lesaffre</t>
  </si>
  <si>
    <t>Maths + Physique-Chimie (SVT non poursuivie en Tle)</t>
  </si>
  <si>
    <t>Maths expertes conseillée (option Tle) pour un profil ingénieur généraliste</t>
  </si>
  <si>
    <t>Coordonne les projets d'expansion industrielle du groupe (extension d'usine ou création d'une usine Greenfield) : élaboration du cahier des charges, évaluation de l'investissement, constitution et pilotage de l'équipe projet, gestion des études techniques et des achats dans le respect du budget et du planning.</t>
  </si>
  <si>
    <t>Ingénieur INSA (génie énergétique et mécanique) ; 2 ans comme responsable technique dans l'industrie médicale avant de rejoindre Lesaffre comme ingénieur étude industrielle, puis chef de projet industriel.</t>
  </si>
  <si>
    <t>Maths+PC</t>
  </si>
  <si>
    <t>Conseiller technique en agroalimentaire</t>
  </si>
  <si>
    <t>Étudie, développe et optimise les procédés de fabrication (essais en micro-pilote ou unité pilote) puis les transpose à l'échelle industrielle, en intégrant les innovations technologiques.</t>
  </si>
  <si>
    <t>Cadre de recherche en chimie analytique chez Lesaffre</t>
  </si>
  <si>
    <t>Développe de nouvelles méthodes d'analyse et identifie des molécules d'intérêt pour soutenir des projets d'innovation, en traduisant les besoins des équipes R&amp;D en stratégies de chimie analytique.</t>
  </si>
  <si>
    <t>École d'ingénieur agronome (ex. AgroParisTech) puis doctorat pluridisciplinaire biochimie / nutrition / santé</t>
  </si>
  <si>
    <t>Doctorat</t>
  </si>
  <si>
    <t>Team Leader R&amp;D – Formulation chez Lesaffre (Fileo)</t>
  </si>
  <si>
    <t>Dirige une équipe de formulation R&amp;D (3 personnes) et coresponsable d'une plateforme technologique applicative pour la Business Unit Fileo (nutrition et santé animale) : développement de produits techniques innovants, soutien technique aux équipes commerciales et aux clients, collaboration avec la R&amp;D centrale du groupe (6 centres d'excellence) et des partenaires académiques et industriels.</t>
  </si>
  <si>
    <t xml:space="preserve">Doctorat réalisé en contrat CIFRE financé par Lesaffre </t>
  </si>
  <si>
    <t>Responsable Génétique et Enzymologie R&amp;I chez Lesaffre</t>
  </si>
  <si>
    <t>Dirige les équipes de génétique de la levure et d'enzymologie au sein de la R&amp;D du groupe : développement de solutions biotechnologiques (génétique classique par croisement/sélection et modification génétique, enzymes catalysant des réactions biochimiques) appliquées à la nutrition et santé animale, aux procédés industriels et à l'innovation brassicole, en collaboration avec des instituts de recherche, universités et start-ups.</t>
  </si>
  <si>
    <t>Responsable Data Science et Bioinformatique chez Lesaffre</t>
  </si>
  <si>
    <t>Dirige l'équipe de data science et de biologie computationnelle au sein de la R&amp;D et Innovation du groupe : développe ce nouveau champ de compétences, accompagne les métiers dans la transformation de leurs besoins en projets de recherche, et applique l'intelligence artificielle et le machine learning à l'amélioration des processus industriels, à l'efficacité énergétique et à la maintenance prédictive.</t>
  </si>
  <si>
    <t>Coordinateur Nouvelles Technologies chez Lesaffre</t>
  </si>
  <si>
    <t>Accélère les initiatives digitales du groupe en intégrant les nouvelles technologies et l'expérience utilisateur dans l'ensemble des projets et métiers (y compris l'industrie et l'agroalimentaire), pour renforcer la compétitivité et préparer les innovations de demain.</t>
  </si>
  <si>
    <t>Directrice RSE chez Lesaffre</t>
  </si>
  <si>
    <t>Pilote la stratégie de responsabilité sociétale (RSE) du groupe : intégration des enjeux de durabilité dans les projets d'innovation, pilotage des engagements sociaux et environnementaux, sensibilisation et formation des équipes, production du reporting extra-financier.</t>
  </si>
  <si>
    <t>Ingénieure agroalimentaire de formation ; expérience préalable en R&amp;D, innovation, qualité et environnement avant d'évoluer vers la RSE.</t>
  </si>
  <si>
    <t>Responsable commercial Europe chez Fermentis (Lesaffre)</t>
  </si>
  <si>
    <t>Anime un réseau de distributeurs et accompagne les clients (amateurs, producteurs artisanaux, industriels) des boissons fermentées à l'international : présence terrain, salons professionnels, tournées clients et formation via un centre dédié (Fermentis Academy).</t>
  </si>
  <si>
    <t>Ingénieur agronome et œnologue de formation ; plusieurs postes techniques occupés avant d'évoluer vers la fonction commerciale.</t>
  </si>
  <si>
    <t>Ingénieur process – Digital Manufacturing chez Lesaffre (Fermex)</t>
  </si>
  <si>
    <t>Accompagne les équipes opérationnelles de suivi de production et d'investissement sur les sites de fermentation à l'international (ex. Mexique), en développant des outils numériques de suivi des fermentations pour optimiser la performance industrielle.</t>
  </si>
  <si>
    <t>Ingénieur process ; a débuté via un Volontariat International en Entreprise (VIE) avant d'être embauché sur site à l'international.</t>
  </si>
  <si>
    <t>Coordinateur de programmes Digital Manufacturing chez Lesaffre</t>
  </si>
  <si>
    <t>Coordonne le déploiement d'outils digitaux dans les usines du groupe pour rendre les données de production accessibles et exploitables à tous les niveaux, en pilotant plannings, budgets et ressources des projets, et en assurant l'adoption des outils sur le terrain.</t>
  </si>
  <si>
    <t>Responsable Grands Comptes chez Lesaffre (Biospringer)</t>
  </si>
  <si>
    <t>Gère la relation avec les grands comptes clients d'une business unit du groupe (extraits de levure) : interface entre le client et les services internes (marketing, R&amp;D, supply chain, qualité), développement de projets d'innovation communs et de ventes d'ingrédients techniques, représentation du groupe en externe.</t>
  </si>
  <si>
    <t>Technicien R&amp;D en agroalimentaire</t>
  </si>
  <si>
    <t>Conçoit et teste de nouvelles recettes et procédés de fabrication en laboratoire, avant leur transfert à l'échelle industrielle.</t>
  </si>
  <si>
    <t>Cheffe de projet R&amp;D en agroalimentaire</t>
  </si>
  <si>
    <t>Pilote des projets de développement de nouveaux produits alimentaires, de la conception à l'industrialisation, en coordination avec les équipes marketing, qualité et production.</t>
  </si>
  <si>
    <t>Agent de silo</t>
  </si>
  <si>
    <t>SVT + Maths, SVT + Physique-Chimie, SVT + SES, SVT + HGGSP, SVT + NSI, SVT + LLCER, SVT + HLP, SVT + Arts ou Maths + Physique-Chimie</t>
  </si>
  <si>
    <t>Réceptionne, contrôle la qualité, nettoie et stocke les céréales des agriculteurs avant leur expédition vers les meuniers ou les usines de transformation.</t>
  </si>
  <si>
    <t>SVT+Maths | SVT+PC | SVT+SES | SVT+HGGSP | SVT+NSI | SVT+LLCER | SVT+HLP | SVT+Arts | Maths+PC</t>
  </si>
  <si>
    <t>Chargé de projet en industrie agroalimentaire</t>
  </si>
  <si>
    <t>Améliore les conditions de travail et les postes sur une ligne de production isolée (ex. fromagerie) : création de manuels de procédures, formation des nouveaux opérateurs, propositions d'investissement et remplacement ponctuel de l'opérateur en atelier.</t>
  </si>
  <si>
    <t>Chef de projet coordination des laboratoires de référence en sécurité des aliments</t>
  </si>
  <si>
    <t>Coordonne les activités des laboratoires de référence en microbiologie des aliments (ANSES) : développe et valide des méthodes d'analyse, vérifie l'aptitude des laboratoires nationaux/européens et apporte une expertise scientifique aux autorités sanitaires.</t>
  </si>
  <si>
    <t>Chargé de projets de recherche en microbiologie alimentaire</t>
  </si>
  <si>
    <t>Conçoit et pilote des projets de recherche sur l'adaptation des bactéries aux stress rencontrés sur la chaîne alimentaire (nettoyage, désinfection) et leur résistance aux biocides et antibiotiques, en collaboration avec des équipes internationales.</t>
  </si>
  <si>
    <t>Paysanne installée en exploitation agricole</t>
  </si>
  <si>
    <t>Gère une exploitation agricole en combinant production, vente directe et pratiques durables.</t>
  </si>
  <si>
    <t>Eleveur caprin</t>
  </si>
  <si>
    <t>Élève des chèvres pour la production laitière ou fromagère.</t>
  </si>
  <si>
    <t>Éleveuse de lapins</t>
  </si>
  <si>
    <t>Élève des lapins destinés à la production de viande, en assurant leur alimentation, leur reproduction et le suivi sanitaire de l'élevage.</t>
  </si>
  <si>
    <t>Bergère</t>
  </si>
  <si>
    <t>Conduit un troupeau de moutons en estive ou en bergerie, en assurant leur alimentation, leur surveillance et la gestion du pâturage.</t>
  </si>
  <si>
    <t>Algoculteur</t>
  </si>
  <si>
    <t>Cultive des algues à des fins alimentaires, cosmétiques ou énergétiques.</t>
  </si>
  <si>
    <t>Arboriculteur</t>
  </si>
  <si>
    <t>Cultive des arbres fruitiers en gérant la taille, la protection et la récolte.</t>
  </si>
  <si>
    <t>Consultante nutrition et robots en élevages laitiers</t>
  </si>
  <si>
    <t>Conseille les éleveurs sur l'alimentation des vaches/chèvres et l'automatisation des étables.</t>
  </si>
  <si>
    <t>Ingénieure conseil en viticulture</t>
  </si>
  <si>
    <t>Accompagne les vignerons dans la gestion technique de leurs vignes.</t>
  </si>
  <si>
    <t>Responsable de site pour des vignerons</t>
  </si>
  <si>
    <t>Coordonne les activités d'un domaine viticole, de la culture à la commercialisation.</t>
  </si>
  <si>
    <t>Directeur d'une coopérative vinicole</t>
  </si>
  <si>
    <t>Dirige la stratégie, la production et la commercialisation d'une cave coopérative regroupant plusieurs exploitations viticoles.</t>
  </si>
  <si>
    <t>Viticulteur</t>
  </si>
  <si>
    <t>Cultive la vigne (taille, travail du sol, vendanges) et élabore le vin de son exploitation, de la plantation à la mise en bouteille.</t>
  </si>
  <si>
    <t>Chargé de mission projets agricoles durables</t>
  </si>
  <si>
    <t>Développe et suit des projets d'agriculture durable pour des collectivités.</t>
  </si>
  <si>
    <t>Chargée d'étude sur les nouvelles techniques d'améliorations de plantes</t>
  </si>
  <si>
    <t>Évalue les nouvelles méthodes d'amélioration et de sélection végétale.</t>
  </si>
  <si>
    <t>Responsable R&amp;D en génie végétal</t>
  </si>
  <si>
    <t>Dirige les programmes de recherche et développement en génie végétal pour créer de nouvelles variétés de plantes plus performantes ou résistantes.</t>
  </si>
  <si>
    <t>Chef de projet au laboratoire de pathologie</t>
  </si>
  <si>
    <t>Coordonne différents projets notamment à travers des analyses sur les maladies des plantes cultivées.</t>
  </si>
  <si>
    <t>Responsable nationale des études VATE</t>
  </si>
  <si>
    <t>Pilote les études d'évaluation des nouvelles variétés végétales.</t>
  </si>
  <si>
    <t>Analyste en biologie moléculaire</t>
  </si>
  <si>
    <t>Réalise des analyses génétiques sur des organismes végétaux ou animaux.</t>
  </si>
  <si>
    <t>Semencier</t>
  </si>
  <si>
    <t>Produit et commercialise des semences sélectionnées pour les agriculteurs.</t>
  </si>
  <si>
    <t>Chef de produit semence</t>
  </si>
  <si>
    <t>Développe et gère une gamme de semences en lien avec le marché agricole.</t>
  </si>
  <si>
    <t>Responsable d'équipe au laboratoire de germination</t>
  </si>
  <si>
    <t>Encadrement d'équipe et analyses de germination d'espèces utiles</t>
  </si>
  <si>
    <t>Homologation d'essais VATE</t>
  </si>
  <si>
    <t>Avis agronomique et évaluation des variétés auprès des prestataires.</t>
  </si>
  <si>
    <t>Chargée de projet sur biocontrôle et biostimulation</t>
  </si>
  <si>
    <t>Pilote des projets en biocontrôle et biostimulation des semences</t>
  </si>
  <si>
    <t>Analyste laboratoire dans la production de semences</t>
  </si>
  <si>
    <t>Effectue des contrôles qualité sur les lots de semences en production.</t>
  </si>
  <si>
    <t>Biostatisticien</t>
  </si>
  <si>
    <t>Analyse les données d'essais agronomiques à l'aide de méthodes statistiques.</t>
  </si>
  <si>
    <t>Technicienne en expérimentations végétales</t>
  </si>
  <si>
    <t>Expertiser des nouvelles variétés</t>
  </si>
  <si>
    <t>Technicien préparateur en production et expérimentation végétale</t>
  </si>
  <si>
    <t>Prépare les végétaux (serre ou milieu naturel, y compris en canopée) pour les expérimentations des chercheurs d'un organisme de recherche agricole en forêt tropicale.</t>
  </si>
  <si>
    <t>Entomologiste au Cirad</t>
  </si>
  <si>
    <t>Étudie les insectes nuisibles ou bénéfiques dans les agrosystèmes tropicaux</t>
  </si>
  <si>
    <t>Coordinateur des activités de phénotypage numérique</t>
  </si>
  <si>
    <t>Développement de nouvelles technologies numériques pour réaliser des analyses de qualité des semences ou variétés</t>
  </si>
  <si>
    <t>Responsable DHS</t>
  </si>
  <si>
    <t>Gère les critères de distinction, homogénéité et stabilité des variétés végétales.</t>
  </si>
  <si>
    <t>Directeur d'Unité et Responsable VATE Plantes fourragères et Plantes de services</t>
  </si>
  <si>
    <t>Dirige une unité de recherche sur l'évaluation des plantes fourragères à l'interface avec la commercialisation</t>
  </si>
  <si>
    <t>Animatrice de la coordination nationale de la conservation des RPG</t>
  </si>
  <si>
    <t>Coordonne la conservation des ressources phytogénétiques agricoles nationales.</t>
  </si>
  <si>
    <t>Responsable Animation et Expertise DHS</t>
  </si>
  <si>
    <t>Forme et coordonne les experts en charge des critères d'inscription variétale.</t>
  </si>
  <si>
    <t>Secrétaire technique et Responsable DHS maïs et sorgho</t>
  </si>
  <si>
    <t>Conduire les examens d'étude des variétés de maïs et sorgho.</t>
  </si>
  <si>
    <t>Secrétaire Technique Arbres Fruitiers</t>
  </si>
  <si>
    <t>Centraliser toutes les demandes de coopération à l'international et rendre possible une réponse</t>
  </si>
  <si>
    <t>Responsable Dénominations variétales</t>
  </si>
  <si>
    <t>Analyser les noms officiels des nouvelles variétés végétales.</t>
  </si>
  <si>
    <t>Apprentie maraîchère</t>
  </si>
  <si>
    <t>Cultive des légumes en plein champ ou sous serre, de la préparation du sol à la récolte, dans le cadre d'un contrat d'apprentissage agricole.</t>
  </si>
  <si>
    <t>Biochimie</t>
  </si>
  <si>
    <t>Licences bio-chimie, PASS, prépa BCPST</t>
  </si>
  <si>
    <t>Ingénieur recherche</t>
  </si>
  <si>
    <t>Conçoit et mène des expériences pour développer de nouveaux produits ou comprendre des mécanismes biologiques.</t>
  </si>
  <si>
    <t>Ingénieur d'étude</t>
  </si>
  <si>
    <t>Réalise des études techniques et analyses dans un laboratoire de recherche ou industriel.</t>
  </si>
  <si>
    <t>Technicien·ne supérieur·e de laboratoire</t>
  </si>
  <si>
    <t>Réalise des analyses biologiques ou chimiques en laboratoire selon des protocoles précis.</t>
  </si>
  <si>
    <t>Chercheur biochimiste</t>
  </si>
  <si>
    <t>Étudie les réactions chimiques dans les organismes vivants pour comprendre les maladies ou comprendre la fonction d'une molécule</t>
  </si>
  <si>
    <t>Biodiversité</t>
  </si>
  <si>
    <t>SVT + HGGSP ou SVT + Physique-Chimie</t>
  </si>
  <si>
    <t>Licences écologie/biologie (plusieurs combinaisons possibles)</t>
  </si>
  <si>
    <t>SVT+HGGSP | SVT+PC</t>
  </si>
  <si>
    <t>Chef de projet biodiversité</t>
  </si>
  <si>
    <t>Pilote des programmes de préservation des espèces et des écosystèmes.</t>
  </si>
  <si>
    <t>Délégué à la COP15 Biodiversité</t>
  </si>
  <si>
    <t>Représente une organisation dans les négociations internationales sur la biodiversité.</t>
  </si>
  <si>
    <t>Systématicien et zoologiste</t>
  </si>
  <si>
    <t>Identifie, classe et décrit les espèces animales // étudie les espèces animales</t>
  </si>
  <si>
    <t>Biologiste de la conservation et de la gestion de la faune</t>
  </si>
  <si>
    <t>Étudie les populations animales sauvages pour proposer des mesures de protection.</t>
  </si>
  <si>
    <t>Technicienne de recherche</t>
  </si>
  <si>
    <t>Assiste les chercheurs dans la collecte et l'analyse de données biologiques.</t>
  </si>
  <si>
    <t>Chef de projet en biodiversité marine</t>
  </si>
  <si>
    <t>Coordonne des programmes d'étude et de protection des espèces marines.</t>
  </si>
  <si>
    <t>Chargé de mission forêt &amp; biodiversité</t>
  </si>
  <si>
    <t>Développe des actions de préservation de la biodiversité forestière.</t>
  </si>
  <si>
    <t>Chargée de missions de recherche OFB</t>
  </si>
  <si>
    <t>Mène des études sur l'état des milieux naturels pour l'Office Français de la Biodiversité.</t>
  </si>
  <si>
    <t>Chargée de recherche  OFB</t>
  </si>
  <si>
    <t>Conduit des recherches appliquées sur les écosystèmes pour guider les politiques de conservation.</t>
  </si>
  <si>
    <t>Conservateur de réserve naturelle  OFB</t>
  </si>
  <si>
    <t>Gère et protège un espace naturel classé en coordonnant les suivis scientifiques.</t>
  </si>
  <si>
    <t>Conservateur des espaces naturels</t>
  </si>
  <si>
    <t>Pilote la conservation d'un espace naturel protégé : gestion de budget, coordination des programmes scientifiques, animation et communication avec le public et les institutions.</t>
  </si>
  <si>
    <t>Direction et coordination de l'appui aux stratégies pour la biodiversité  OFB</t>
  </si>
  <si>
    <t>Pilote les programmes nationaux de soutien aux politiques de préservation.</t>
  </si>
  <si>
    <t>Chef d'unité à l'OFB - milieu lacustre</t>
  </si>
  <si>
    <t>Dirige une équipe chargée de la surveillance des écosystèmes lacustres.</t>
  </si>
  <si>
    <t>Référent police contrôle environnement -OFB</t>
  </si>
  <si>
    <t>Coordonne les enquêtes sur les infractions environnementales.</t>
  </si>
  <si>
    <t>Inspecteur de l'environnement - OFB</t>
  </si>
  <si>
    <t>Surveille et sanctionne les atteintes aux milieux naturels et à la faune sauvage.</t>
  </si>
  <si>
    <t>Chargée de missions pêche - OFB</t>
  </si>
  <si>
    <t>Gère et surveille les populations halieutiques, piscicoles et les pratiques de pêche.</t>
  </si>
  <si>
    <t>Chargée de Recherche en Écotoxicologie</t>
  </si>
  <si>
    <t>Étudie l'impact des polluants chimiques (pesticides, métaux) sur la faune sauvage (petits mammifères, oiseaux) à l'aide de méthodes non létales, au CNRS.</t>
  </si>
  <si>
    <t>Technicien environnement biodiversité</t>
  </si>
  <si>
    <t>Réalise l'entretien des espaces naturels ainsi que des inventaires et suivis de terrain (faune, flore) pour préserver la biodiversité des milieux.</t>
  </si>
  <si>
    <t>Garde d'espace naturel</t>
  </si>
  <si>
    <t>Protège l'environnement en montagne par des actions de prévention, d'éducation et de répression : recense les espèces animales et végétales, informe le public sur la réglementation et dresse des procès-verbaux en cas d'infraction.</t>
  </si>
  <si>
    <t>Animateur nature</t>
  </si>
  <si>
    <t>Propose des sorties en espace naturel à des groupes scolaires ou au grand public pour sensibiliser à la protection de l'environnement et faire découvrir les espèces animales et végétales.</t>
  </si>
  <si>
    <t>Gardien de l'environnement</t>
  </si>
  <si>
    <t>Protège l'environnement au sein d'un parc naturel : surveillance du site, information du public sur la réglementation et sensibilisation à la préservation des espaces naturels.</t>
  </si>
  <si>
    <t>Éducateur au monde du vivant</t>
  </si>
  <si>
    <t>Fait découvrir la faune et la flore au grand public (parc zoologique, aquarium, réserve naturelle) : soins aux animaux, animations pédagogiques et sensibilisation à la biodiversité.</t>
  </si>
  <si>
    <t>Directeur de recherche en économie de l'environnement</t>
  </si>
  <si>
    <t>Évalue l'impact des accords commerciaux internationaux sur la biodiversité et la déforestation (ex. accord UE-Mercosur et filière bovine), et préside des commissions d'expertise mandatées par les pouvoirs publics (Inrae).</t>
  </si>
  <si>
    <t>Garde technicien d'espace naturel</t>
  </si>
  <si>
    <t>Fait respecter la réglementation d'une réserve naturelle (police de l'environnement), entretient les milieux et réalise les suivis naturalistes faune-flore.</t>
  </si>
  <si>
    <t>Bac+2 (BTSA Gestion et protection de la nature) ; accessible après un bac scientifique.</t>
  </si>
  <si>
    <t>Chargée de missions territoriale</t>
  </si>
  <si>
    <t>Coordonne des actions de préservation de la biodiversité à l'échelle d'un territoire (parc naturel, collectivité) : montage de projets, suivi des partenaires locaux et accompagnement des acteurs (agriculteurs, élus, associations).</t>
  </si>
  <si>
    <t>Chargée de projets enjeux territoriaux</t>
  </si>
  <si>
    <t>Pilote des projets liés aux enjeux environnementaux d'un territoire (eau, agriculture, biodiversité, aménagement) : diagnostic, concertation avec les acteurs locaux et suivi de la mise en œuvre des actions.</t>
  </si>
  <si>
    <t>Bioinformatique</t>
  </si>
  <si>
    <t>SVT + Maths ou SVT + NSI</t>
  </si>
  <si>
    <t>Maths conservée en Tle conseillée — sinon Maths compl. (option)</t>
  </si>
  <si>
    <t>Licences info/bio, masters bioinformatique</t>
  </si>
  <si>
    <t>SVT+Maths | SVT+NSI</t>
  </si>
  <si>
    <t>Biologiste computationnel.le</t>
  </si>
  <si>
    <t>Analyse de grandes bases de données biologiques et/ou médicales à l'aide d'algorithmes.</t>
  </si>
  <si>
    <t>Bioinformaticien en génétique moléculaire</t>
  </si>
  <si>
    <t>Agréger l'ensemble des données produites par les analyses génétiques et les rendre accessibles aux biologistes</t>
  </si>
  <si>
    <t>Bioinformaticienne marine</t>
  </si>
  <si>
    <t>Accompagner les chercheurs en biologie moléculaire dans l'analyse de leurs données (comme la prédiction de gènes ou l'identification d'espèces marines)</t>
  </si>
  <si>
    <t>Bioinformaticien en milieu hospitalier</t>
  </si>
  <si>
    <t>Partir de données génomiques pour reconstruire des ADN complets d'agents pathogènes ou de patients.</t>
  </si>
  <si>
    <t>Chercheur en bio-informatique</t>
  </si>
  <si>
    <t>Développe des outils et applications informatiques utilisés par les biologistes pour étudier des maladies génétiques rares ou plus courantes comme le diabète et différents cancers.</t>
  </si>
  <si>
    <t>Cogniticien</t>
  </si>
  <si>
    <t>Étudie comment les humains perçoivent, apprennent, mémorisent et prennent des décisions, pour concevoir des systèmes numériques adaptés à l'utilisateur. Fait le pont entre sciences cognitives et intelligence artificielle.</t>
  </si>
  <si>
    <t>École d'ingénieur en cognitique (ex. ENSC Bordeaux) ou master en sciences cognitives.</t>
  </si>
  <si>
    <t>Biologie cellulaire</t>
  </si>
  <si>
    <t>Licences bio, PASS, prépa BCPST</t>
  </si>
  <si>
    <t>Géomicrobiologie</t>
  </si>
  <si>
    <t>Étudie les interactions entre les micro-organismes et leur environnement.</t>
  </si>
  <si>
    <t>Microbiologiste à l'hôpital</t>
  </si>
  <si>
    <t>Analyse les prélèvements des patients pour identifier les agents infectieux.</t>
  </si>
  <si>
    <t>Microbiologiste</t>
  </si>
  <si>
    <t>Développer des procédés de fermentation microbienne pour cultiver des bactéries à grande échelle ou produire des molécules thérapeutiques ou des outils de diagnostic,</t>
  </si>
  <si>
    <t>Chercheuse en microbiologie</t>
  </si>
  <si>
    <t>Mène des recherches sur les micro-organismes.</t>
  </si>
  <si>
    <t>Chargé de recherche CNRS à l'iBV (CNRS-INSERM_UCA)</t>
  </si>
  <si>
    <t>Conduit des recherches fondamentales sur le développement et la biologie cellulaire.</t>
  </si>
  <si>
    <t>Technicienne en contrôle qualité</t>
  </si>
  <si>
    <t>Vérifie la conformité des produits biologiques ou pharmaceutiques.</t>
  </si>
  <si>
    <t>Ingénieure en biologie cellulaire chez Lattice Medical</t>
  </si>
  <si>
    <t>Étudie le comportement des cellules et tissus vivants pour développer et valider les biomatériaux entrant dans la fabrication des implants (ex. : MATTISSE).</t>
  </si>
  <si>
    <t>Biologiste responsable technique en virologie</t>
  </si>
  <si>
    <t>Encadre les activités techniques d'un laboratoire de virologie : cultures cellulaires, sérologie, biologie moléculaire, pour le diagnostic et la recherche sur les virus.</t>
  </si>
  <si>
    <t>Biologie moléculaire</t>
  </si>
  <si>
    <t>Epidémiologiste moléculaire</t>
  </si>
  <si>
    <t>Etudie les épidémies en combinant l'épidémiologie spatiale et l'analyse génétique des virus pour comprendre leur dynamique de propagation et leur évolution</t>
  </si>
  <si>
    <t>Biologiste moléculaire</t>
  </si>
  <si>
    <t>Étudie les mécanismes de l'ADN, de l'ARN et des protéines à l'échelle moléculaire pour par exemple identifier des anomalies au niveau de l'ADN chez les patients afin de poser un diagnostic pour expliquer une maladie génétique</t>
  </si>
  <si>
    <t>Biologie végétale</t>
  </si>
  <si>
    <t>Licence bio, prépa BCPST, écoles agro</t>
  </si>
  <si>
    <t>Ethnobotaniste</t>
  </si>
  <si>
    <t>Étudie les relations entre les plantes utiles et les populations humaines</t>
  </si>
  <si>
    <t>Botaniste</t>
  </si>
  <si>
    <t>Chercheur en botanique tropicale : étudie les plantes et leur biodiversité (notamment les orchidées) entre son laboratoire en France et le terrain, en menant des missions de recherche sur place (ex. Cameroun) en collaboration avec des universités et instituts locaux.</t>
  </si>
  <si>
    <t>Ingénieure d'étude au CNRS</t>
  </si>
  <si>
    <t>Étudie la composition isotopique des cernes d'arbres (dendro-isotopie) pour comprendre le fonctionnement physiologique des arbres au sein de leur écosystème et reconstituer les climats passés.</t>
  </si>
  <si>
    <t>Technicien de laboratoire en biotechnologies</t>
  </si>
  <si>
    <t>Sème, arrose et récolte des plantes en serre pour répondre aux questions posées par des biologistes, notamment sur le stress hydrique des plantes et leur capacité à décontaminer des sols pollués ou radioactifs (phytoremédiation).</t>
  </si>
  <si>
    <t>Bryologue</t>
  </si>
  <si>
    <t>Étudie les mousses et autres bryophytes sur le terrain et en laboratoire : inventaire des espèces, rôle écologique (indicateurs de la qualité de l'air et des milieux) et conservation.</t>
  </si>
  <si>
    <t>Biotechnologies</t>
  </si>
  <si>
    <t>Prépa BCPST, licences bio, écoles d'ingénieurs</t>
  </si>
  <si>
    <t>Ingénieur technico-commercial</t>
  </si>
  <si>
    <t>Définit les besoins des clients, gère le processus de vente, puis accompagne l'installation des projets et la formation aux produits</t>
  </si>
  <si>
    <t>Responsable contrôle qualité en impression biologique</t>
  </si>
  <si>
    <t>Supervise la qualité des bioimprimantes et des tissus biologiques produits.</t>
  </si>
  <si>
    <t>Ingénieur responsable production tissus vivants</t>
  </si>
  <si>
    <t>Pilote la fabrication de tissus cellulaires vivants pour des applications médicales.</t>
  </si>
  <si>
    <t>Spécialiste en bioimpression</t>
  </si>
  <si>
    <t>Utilise des imprimantes 3D biologiques pour créer des structures cellulaires.</t>
  </si>
  <si>
    <t>Ingénieur biomédical</t>
  </si>
  <si>
    <t>Conçoit des dispositifs médicaux en combinant ingénierie et biologie.</t>
  </si>
  <si>
    <t>Technicien biomédical</t>
  </si>
  <si>
    <t>Installe, entretient et répare les équipements médicaux dans les établissements de santé.</t>
  </si>
  <si>
    <t>Ingénieur·e en biotechnologie (production par fermentation)</t>
  </si>
  <si>
    <t>Cultive des micro-organismes (bactéries, champignons) au service recherche et développement pour produire des molécules d'intérêt destinées aux cosmétiques, d'abord à petite échelle en laboratoire puis en bioréacteurs à plus grande échelle.</t>
  </si>
  <si>
    <t>Responsable commercial (molécules pour cosmétiques)</t>
  </si>
  <si>
    <t>Fait la promotion, auprès de fabricants de cosmétiques du monde entier, des molécules produites par l'entreprise : présente leurs vertus et propose des solutions pour les intégrer aux formulations cosmétiques des clients.</t>
  </si>
  <si>
    <t>Ingénieure Biomatériaux chez Lattice Medical</t>
  </si>
  <si>
    <t>Conçoit et développe des biomatériaux résorbables imprimés en 3D pour la fabrication d'implants médicaux (ex. : reconstruction mammaire).</t>
  </si>
  <si>
    <t>Responsable qualité chez Lattice Medical</t>
  </si>
  <si>
    <t>Garantit la conformité et la qualité des dispositifs médicaux (biomatériaux résorbables imprimés en 3D) tout au long de leur développement et de leur production.</t>
  </si>
  <si>
    <t>Ingénieur R&amp;D chez Lattice Medical</t>
  </si>
  <si>
    <t>Conçoit et développe de nouveaux biomatériaux et dispositifs médicaux (implants résorbables imprimés en 3D) au sein de l'équipe recherche et développement.</t>
  </si>
  <si>
    <t>Ingénieur Biomédical chez Lattice Medical</t>
  </si>
  <si>
    <t>Conçoit, teste et valide les dispositifs médicaux (implant résorbable MATTISSE) en associant ingénierie biomédicale et exigences réglementaires.</t>
  </si>
  <si>
    <t>Responsable R&amp;D chez Lattice Medical</t>
  </si>
  <si>
    <t>Dirige l'équipe et la stratégie de recherche et développement pour concevoir de nouveaux biomatériaux et dispositifs médicaux innovants.</t>
  </si>
  <si>
    <t>Responsable industrialisation et méthodes chez Lattice Medical</t>
  </si>
  <si>
    <t>Pilote le passage à l'échelle industrielle et les procédés de fabrication des dispositifs médicaux (implants résorbables imprimés en 3D).</t>
  </si>
  <si>
    <t>Ingénieure industrialisation et méthodes chez Lattice Medical</t>
  </si>
  <si>
    <t>Met en œuvre les procédés de fabrication et d'industrialisation des dispositifs médicaux (implants résorbables imprimés en 3D), en lien avec les équipes R&amp;D et production.</t>
  </si>
  <si>
    <t>Responsable des Affaires Réglementaires chez Lattice Medical</t>
  </si>
  <si>
    <t>Pilote la stratégie réglementaire et l'enregistrement des dispositifs médicaux (implants résorbables imprimés en 3D) auprès des autorités de santé.</t>
  </si>
  <si>
    <t>Ingénieur de Production chez Lattice Medical</t>
  </si>
  <si>
    <t>Supervise la production des dispositifs médicaux (implants résorbables imprimés en 3D) en salle blanche, en garantissant les cadences et la qualité de fabrication.</t>
  </si>
  <si>
    <t>Ingénieur R&amp;D biomécanique chez Lattice Medical</t>
  </si>
  <si>
    <t>Modélise et simule le comportement mécanique des biomatériaux et implants (ex. : MATTISSE) pour optimiser leur conception et leur tenue dans le corps.</t>
  </si>
  <si>
    <t>Chargée de Marketing chez Lattice Medical</t>
  </si>
  <si>
    <t>Conçoit et déploie la stratégie de communication et de marketing pour valoriser les dispositifs médicaux innovants (implants résorbables) auprès des publics cibles.</t>
  </si>
  <si>
    <t>Chercheuse en biomatériaux</t>
  </si>
  <si>
    <t>Développe des biomatériaux innovants (hydrogels, matrices résorbables) pour la régénération tissulaire, dans le cadre d'une thèse de doctorat en génie biologique.</t>
  </si>
  <si>
    <t>Commerce et marketing</t>
  </si>
  <si>
    <t>SVT + SES ou SVT + Maths</t>
  </si>
  <si>
    <t>DGEMC conseillée (option Tle)</t>
  </si>
  <si>
    <t>Écoles de commerce post-bac ou prépa ECG ; secteurs pharma, biotech, agro</t>
  </si>
  <si>
    <t>SVT+* | SVT+SES | SVT+Maths</t>
  </si>
  <si>
    <t>Acheteur hospitalier</t>
  </si>
  <si>
    <t>Négocie les contrats d'achat de matériel médical et médicaments en fonction des besoin d'un hôpital.</t>
  </si>
  <si>
    <t>Chef de produit cosmétique et détergence</t>
  </si>
  <si>
    <t>Gère le développement et le lancement de nouveaux produits cosmétiques sur le marché.</t>
  </si>
  <si>
    <t>Cosmétique &amp; Dermatologie</t>
  </si>
  <si>
    <t>Licences chimie-biologie, écoles de cosmétique</t>
  </si>
  <si>
    <t>Contrôleur qualité</t>
  </si>
  <si>
    <t>Vérifie la conformité des produits cosmétiques aux normes de qualité et sécurité.</t>
  </si>
  <si>
    <t>Agent de pesée</t>
  </si>
  <si>
    <t>Mesure et prépare les matières premières entrant dans la fabrication cosmétique.</t>
  </si>
  <si>
    <t>Responsable développement packaging</t>
  </si>
  <si>
    <t>Conçoit les emballages des produits cosmétiques en intégrant les contraintes techniques.</t>
  </si>
  <si>
    <t>Chargée de projet</t>
  </si>
  <si>
    <t>Coordonne les étapes du développement d'un produit cosmétique du lab au lancement.</t>
  </si>
  <si>
    <t>Technicien·ne de laboratoire cosmétique</t>
  </si>
  <si>
    <t>Teste l'efficacité des produits cosmétiques en menant des expériences sur des cellules de peau cultivées en tubes à essais ; son compte rendu peut conduire les équipes à retravailler le produit pour le rendre plus efficace.</t>
  </si>
  <si>
    <t>Entrepreneure en cosmétique naturelle</t>
  </si>
  <si>
    <t>Crée et développe sa propre marque de cosmétiques naturels : formulation des produits, approvisionnement en matières premières, gestion de la production et commercialisation.</t>
  </si>
  <si>
    <t>Data science</t>
  </si>
  <si>
    <t>Licences info/maths/bio, masters data (SVT = contexte biologique)</t>
  </si>
  <si>
    <t>Ingénieur data Agro</t>
  </si>
  <si>
    <t>Analyse les données agricoles pour optimiser les rendements et pratiques culturales.</t>
  </si>
  <si>
    <t>Analyste des données INSEP</t>
  </si>
  <si>
    <t>Exploite les données de performance des athlètes pour optimiser l'entraînement.</t>
  </si>
  <si>
    <t>Analyste de données Cyclisme</t>
  </si>
  <si>
    <t>Traite les données des cyclistes professionnels pour améliorer leurs performances.</t>
  </si>
  <si>
    <t>Data manager en santé</t>
  </si>
  <si>
    <t>Gère et sécurise les bases de données médicales dans les établissements de santé.</t>
  </si>
  <si>
    <t>Géomaticienne</t>
  </si>
  <si>
    <t>Traite des données géographiques : collecte, structure et analyse des informations spatiales à l'aide d'outils de cartographie numérique et de systèmes d'information géographique (SIG).</t>
  </si>
  <si>
    <t>Biostatisticienne</t>
  </si>
  <si>
    <t>Applique des méthodes statistiques avancées à des données biologiques ou médicales.</t>
  </si>
  <si>
    <t>Ingénieurs bioanalystes</t>
  </si>
  <si>
    <t>Traite et analyse les données biologiques brutes, notamment issues du séquençage du génome, en utilisant l'informatique et les mathématiques pour leur donner un sens biologique</t>
  </si>
  <si>
    <t>Attaché de recherche clinique</t>
  </si>
  <si>
    <t>Interface essentielle entre le promoteur d'une étude, les médecins et les patients</t>
  </si>
  <si>
    <t>Actuaire</t>
  </si>
  <si>
    <t>Calcule, modélise et gère les risques financiers et assurantiels (climatiques, cyber...) pour les banques et les compagnies d'assurance, en s'appuyant sur la statistique et la programmation.</t>
  </si>
  <si>
    <t>Analyste des Risques Réassurance &amp; Opérationnels</t>
  </si>
  <si>
    <t>Modélise le coût des catastrophes naturelles (inondations, sécheresses) par le calcul et la programmation, pour le compte d'un réassureur opérant le régime public Cat Nat, en lien avec les souscripteurs et les actuaires (CCR).</t>
  </si>
  <si>
    <t>Droit</t>
  </si>
  <si>
    <t>SVT + HGGSP, SVT + SES ou SVT + HLP</t>
  </si>
  <si>
    <t>DGEMC fortement conseillée (option Tle)</t>
  </si>
  <si>
    <t>Fac de droit, IEP ; SVT pour le droit de l'environnement</t>
  </si>
  <si>
    <t>SVT+HGGSP | SVT+SES | SVT+HLP</t>
  </si>
  <si>
    <t>Juriste en droit de l'environnement</t>
  </si>
  <si>
    <t>Conseille sur les questions juridiques liées à la protection de l'environnement.</t>
  </si>
  <si>
    <t>Avocate en droit de l'environnement</t>
  </si>
  <si>
    <t>Plaide pour faire respecter la législation environnementale.</t>
  </si>
  <si>
    <t>Inspecteur de l'environnement</t>
  </si>
  <si>
    <t>Contrôle le respect des réglementations environnementales.</t>
  </si>
  <si>
    <t>Spécialiste aux affaires réglementaires en pharmacologie</t>
  </si>
  <si>
    <t>Assure la conformité réglementaire des médicaments lors de leur développement.</t>
  </si>
  <si>
    <t>Coordinatrice d'expertise en santé et alimentation animales</t>
  </si>
  <si>
    <t>Pilote des expertises collectives sur les risques liés aux maladies animales et à l'alimentation animale, coordonne des comités d'experts et rédige les avis scientifiques destinés aux autorités (ANSES).</t>
  </si>
  <si>
    <t>Chargée d'étude évaluation environnementale en milieu marin</t>
  </si>
  <si>
    <t>Réalise les cadrages réglementaires et rédige les dossiers d'évaluation environnementale de projets en milieu marin (ex. dragage portuaire), en coordonnant les expertises de plusieurs domaines (faune marine, mammifères marins, instrumentation) et en accompagnant les clients (bureau d'études).</t>
  </si>
  <si>
    <t>Directeur juridique en droit de la santé</t>
  </si>
  <si>
    <t>Dirige le service juridique d'un établissement ou d'une entreprise du secteur de la santé : sécurise juridiquement les activités (contrats, responsabilité médicale, propriété intellectuelle) et veille au respect de la réglementation sanitaire.</t>
  </si>
  <si>
    <t>SVT + Maths ou SVT + Physique-Chimie</t>
  </si>
  <si>
    <t>Licences santé/bio, PASS, master épidémiologie</t>
  </si>
  <si>
    <t>SVT+Maths | SVT+PC</t>
  </si>
  <si>
    <t>Epidémiologiste</t>
  </si>
  <si>
    <t>Étudie la distribution et les causes des maladies dans les populations.</t>
  </si>
  <si>
    <t>Trace l'origine et la transmission des maladies infectieuses par analyses génétiques.</t>
  </si>
  <si>
    <t>Epidémiologiste en santé environnementale</t>
  </si>
  <si>
    <t>Analyse les liens entre facteurs environnementaux et santé des populations.</t>
  </si>
  <si>
    <t>Ingénieur d'Étude en Entomologie Médicale</t>
  </si>
  <si>
    <t>Étudie les insectes vecteurs de maladies (moustiques, phlébotomes) : taxonomie, écologie et surveillance des arboviroses, pour la recherche en santé publique (IRD).</t>
  </si>
  <si>
    <t>Chargé de Recherche en Entomologie Médicale</t>
  </si>
  <si>
    <t>Dirige des recherches sur les moustiques vecteurs de maladies (paludisme, dengue, chikungunya) et développe des méthodes de lutte antivectorielle (ex. : technique de l'insecte stérile) au sein d'un institut de recherche (IRD).</t>
  </si>
  <si>
    <t>Ethologie et comportement animal</t>
  </si>
  <si>
    <t>SVT + Physique-Chimie ou SVT + HGGSP</t>
  </si>
  <si>
    <t>Licence bio, master éthologie</t>
  </si>
  <si>
    <t>SVT+PC | SVT+HGGSP</t>
  </si>
  <si>
    <t>Primatologue</t>
  </si>
  <si>
    <t>Étudie le comportement et la cognition des primates dans leur milieu naturel.</t>
  </si>
  <si>
    <t>Ethologue</t>
  </si>
  <si>
    <t>Observe et analyse les comportements des animaux pour comprendre leurs interactions.</t>
  </si>
  <si>
    <t>Directrice de recherche en éthologie</t>
  </si>
  <si>
    <t>Dirige une équipe de recherche sur la cognition et le bien-être animal (Inra) : étudie la capacité des chevaux et des bovins à reconnaître les émotions humaines par des protocoles expérimentaux (projection de visages, suivi cardiofréquence, analyse comportementale).</t>
  </si>
  <si>
    <t>Soigneur animalier</t>
  </si>
  <si>
    <t>Nourrit, observe et enrichit le quotidien des animaux (comportement, bien-être) dans un parc zoologique, un aquarium ou une réserve, en lien avec les équipes vétérinaires et scientifiques.</t>
  </si>
  <si>
    <t>Ornithologue</t>
  </si>
  <si>
    <t>Étudie les oiseaux sur le terrain : recensement des populations, baguage, suivi des migrations et des comportements, pour la connaissance et la conservation des espèces.</t>
  </si>
  <si>
    <t>Herpétologue</t>
  </si>
  <si>
    <t>Étudie les amphibiens et les reptiles sur le terrain : inventaire des espèces, suivi des populations et de leur habitat, pour la connaissance et la conservation de ces espèces menacées.</t>
  </si>
  <si>
    <t>Mammalogue</t>
  </si>
  <si>
    <t>Étudie les mammifères sur le terrain : inventaire des espèces, suivi des populations et de leur comportement, pour la connaissance et la conservation de ces espèces.</t>
  </si>
  <si>
    <t>Chiroptérologue</t>
  </si>
  <si>
    <t>Étudie les chauves-souris sur le terrain (comptages, capture, écoute ultrasonore) pour suivre les populations et préserver leurs habitats et gîtes.</t>
  </si>
  <si>
    <t>Prépa BCPST ou MPSI, licences physique/bio</t>
  </si>
  <si>
    <t>Chercheur en exobiologie</t>
  </si>
  <si>
    <t>Recherche les conditions d'apparition de la vie dans l'univers.</t>
  </si>
  <si>
    <t>Finance</t>
  </si>
  <si>
    <t>SVT + Maths ou SVT + SES</t>
  </si>
  <si>
    <t>Maths compl. utile si Maths non conservée · DGEMC conseillée</t>
  </si>
  <si>
    <t>Écoles de commerce, IEP ; SVT pour la finance verte / ESG</t>
  </si>
  <si>
    <t>SVT+* | SVT+Maths | SVT+SES</t>
  </si>
  <si>
    <t>Experte investissement responsable ESG / ISR</t>
  </si>
  <si>
    <t>Sélectionne des investissements en intégrant des critères environnementaux et sociaux (ESG).</t>
  </si>
  <si>
    <t>Analyste en Finance Verte</t>
  </si>
  <si>
    <t>Analyse la conformité des projets et instruments financiers (obligations vertes, prêts durables) aux critères environnementaux et à la taxonomie verte, pour orienter les décisions d'investissement vers la transition écologique.</t>
  </si>
  <si>
    <t>Chargé de Financement</t>
  </si>
  <si>
    <t>Pilote le financement de projets d'infrastructures d'énergies renouvelables à l'international : identifie les partenaires bancaires, construit les business plans et projections de cash-flow, et sécurise la décision d'investissement finale auprès des parties prenantes.</t>
  </si>
  <si>
    <t>Acheteuse International</t>
  </si>
  <si>
    <t>Négocie les contrats et réalise les achats à l'international pour des projets d'énergies renouvelables : veille technologique, salons professionnels, négociation des clauses contractuelles et suivi des fournisseurs (Valorem).</t>
  </si>
  <si>
    <t>Ingénieur forestier</t>
  </si>
  <si>
    <t>Gère durablement les massifs forestiers en planifiant coupes et reboisements / évaluations environnementales des projets</t>
  </si>
  <si>
    <t>Ingénieur forestier (Québec)</t>
  </si>
  <si>
    <t>Planifie et gère l'utilisation de la forêt en conciliant production de bois, protection de l'environnement et développement durable ; produit les plans d'aménagement forestier (métier québécois, titre réservé, OIFQ).</t>
  </si>
  <si>
    <t>Cheffe de projet aménagement forestier (ONF)</t>
  </si>
  <si>
    <t>Réalise des relevés de terrain, les analyse, puis conçoit, présente et défend des plans d'aménagement forestier programmant coupes et travaux sur une échelle de 20 ans.</t>
  </si>
  <si>
    <t>Responsable unité territoriale (ONF)</t>
  </si>
  <si>
    <t>Coordonne la gestion forestière sur un territoire pour l'ONF.</t>
  </si>
  <si>
    <t>Directeur d'agence territoriale (ONF)</t>
  </si>
  <si>
    <t>Manage plusieurs unités territoriales, garantit la gestion durable des forêts sur son périmètre et noue des partenariats avec les acteurs locaux au service du territoire et de la filière bois (ONF).</t>
  </si>
  <si>
    <t>Géomaticien</t>
  </si>
  <si>
    <t>SVT + NSI ou SVT + Physique-Chimie ou SVT + Maths</t>
  </si>
  <si>
    <t>Maths complémentaire utile si Maths non conservée</t>
  </si>
  <si>
    <t>Analyse des données de terrain et des images aériennes pour créer des cartes précises (SIG) essentielles à la prise de décision pour l'aménagement des forêts</t>
  </si>
  <si>
    <t>SVT+NSI | SVT+PC | SVT+Maths</t>
  </si>
  <si>
    <t>SVT+NSI | SVT+Maths</t>
  </si>
  <si>
    <t>Cartographe</t>
  </si>
  <si>
    <t>Représente un territoire de façon visuelle et spatialisée (réseaux, voirie, transport, énergie...) à partir de relevés de terrain (GPS) et de systèmes d'information géographique (SIG), pour aider à la décision des élus et des collectivités.</t>
  </si>
  <si>
    <t>Biologiste / technicien de la faune (Québec)</t>
  </si>
  <si>
    <t>Récolte des données sur la faune en forêt (inventaires, suivi de la chasse et de la pêche), analysées ensuite par les biologistes pour orienter la gestion durable du territoire (métier québécois).</t>
  </si>
  <si>
    <t>Biologiste et écologiste (Québec)</t>
  </si>
  <si>
    <t>Étudie l'écologie forestière et les impacts des activités humaines sur la faune et la flore du milieu forestier, sur le terrain comme en laboratoire (métier québécois).</t>
  </si>
  <si>
    <t>Agents forestiers (Côtes d'Armor)</t>
  </si>
  <si>
    <t>Toutes spécialités</t>
  </si>
  <si>
    <t>Assure sur un territoire défini la gestion, la surveillance et l'entretien des forêts départementales, en lien avec les propriétaires et les usagers (agents du Conseil départemental des Côtes d'Armor).</t>
  </si>
  <si>
    <t>Aucune qualification requise, poste de catégorie C fonction publique</t>
  </si>
  <si>
    <t>*</t>
  </si>
  <si>
    <t>Technicien forestier (ONF)</t>
  </si>
  <si>
    <t>Participe à la gestion durable des forêts publiques pour l'ONF : martelage, suivi des coupes et du reboisement, surveillance sanitaire des peuplements.</t>
  </si>
  <si>
    <t>Garde forestier (ONF)</t>
  </si>
  <si>
    <t>Préserve la biodiversité, protège les forêts des incendies et suit l'évolution des milieux naturels au quotidien sur son secteur.</t>
  </si>
  <si>
    <t>Technologue forestier (Québec)</t>
  </si>
  <si>
    <t>Coordonne les travaux d'aménagement durable des forêts et supervise des équipes sur le terrain, en étroite collaboration avec l'ingénieur forestier (métier québécois, niveau DEC technologie forestière).</t>
  </si>
  <si>
    <t>Gestionnaire forestier</t>
  </si>
  <si>
    <t>Accompagne des propriétaires dans la gestion durable de leur forêt : marque les coupes, guide les travaux sylvicoles et valorise les massifs qui lui sont confiés.</t>
  </si>
  <si>
    <t>Sylviculteur</t>
  </si>
  <si>
    <t>Entretient et régénère les peuplements forestiers : débroussaillage, éclaircies, élagage et surveillance sanitaire des arbres, pour favoriser leur croissance jusqu'à la récolte.</t>
  </si>
  <si>
    <t>Accessible après un CAP agricole travaux forestiers ou un Bac Pro forêt</t>
  </si>
  <si>
    <t>Entrepreneur en travaux forestiers</t>
  </si>
  <si>
    <t>Dirige sa propre entreprise de travaux forestiers (abattage, débardage, sylviculture) pour le compte d'exploitants, de scieurs, de coopératives ou de l'ONF : chantiers, matériel et gestion administrative.</t>
  </si>
  <si>
    <t>Accessible après un Bac Pro ou BP travaux forestiers, avec formation en gestion d'entreprise</t>
  </si>
  <si>
    <t>Responsable de chantiers forestiers (BP RCF)</t>
  </si>
  <si>
    <t>Organise et conduit les chantiers d'exploitation forestière et de sylviculture (plantation, entretien, abattage), encadre les équipes et assure le suivi jusqu'à la réception par le client.</t>
  </si>
  <si>
    <t>Accessible après un BP responsable de chantiers forestiers, depuis un CAPA/BEPA</t>
  </si>
  <si>
    <t>Ouvrier forestier, planteur d'arbres</t>
  </si>
  <si>
    <t>Prépare les chantiers de plantation, met les arbres en terre, les protège puis réalise les dégagements et les éclaircies nécessaires à leur bonne croissance.</t>
  </si>
  <si>
    <t>Accessible après un CAP agricole travaux forestiers</t>
  </si>
  <si>
    <t>Acériculteur (Québec)</t>
  </si>
  <si>
    <t>Gère une érablière, entaille les érables, récolte et transforme l'eau d'érable en sirop, puis commercialise les produits acéricoles (métier québécois).</t>
  </si>
  <si>
    <t>Accessible après un DEP en production acéricole, métier québécois</t>
  </si>
  <si>
    <t>Pépiniériste, planteur de graines</t>
  </si>
  <si>
    <t>Sème, élève et surveille la croissance des jeunes plants forestiers en pépinière jusqu'à ce qu'ils soient prêts à être mis en terre.</t>
  </si>
  <si>
    <t>Accessible après un CAPA ou un BPA travaux des productions horticoles</t>
  </si>
  <si>
    <t>Acheteur d'arbres sur pied</t>
  </si>
  <si>
    <t>Évalue la qualité et le volume du bois d'une parcelle forestière, négocie son achat auprès des propriétaires et organise sa récolte dans une logique de gestion durable.</t>
  </si>
  <si>
    <t>Technico-commercial bois (ONF)</t>
  </si>
  <si>
    <t>Démarche et fidélise les clients de l'ONF, pilote l'exploitation des bois vendus façonnés et valorise au mieux les arbres récoltés dans les forêts publiques.</t>
  </si>
  <si>
    <t>Accessible via un BTSA technico-commercial produits de la filière forêt-bois, depuis un bac général, techno ou pro</t>
  </si>
  <si>
    <t>Chercheur en mycologie phytopathologique</t>
  </si>
  <si>
    <t>Étudie les champignons et oomycètes responsables de maladies des arbres et des forêts : détection, identification et épidémiosurveillance au sein d'un laboratoire de référence national et européen (ANSES).</t>
  </si>
  <si>
    <t>Naturaliste mycologue (ONF)</t>
  </si>
  <si>
    <t>Anime le réseau mycologie de l'ONF : inventorie les espèces de champignons en forêt, suit leur évolution face au changement climatique et développe de nouvelles méthodes de détection (ADN environnemental) pour mieux gérer les écosystèmes forestiers.</t>
  </si>
  <si>
    <t>Luthier</t>
  </si>
  <si>
    <t>Fabrique, répare et restaure des instruments de musique à cordes en bois, en sélectionnant les essences et en travaillant chaque pièce à la main pour en optimiser la sonorité.</t>
  </si>
  <si>
    <t>Accessible après un CAP/DMA lutherie ou un diplôme des métiers d'art</t>
  </si>
  <si>
    <t>Charpentier constructeur bois</t>
  </si>
  <si>
    <t>Fabrique en atelier et assemble sur chantier les structures, ossatures et charpentes en bois : traçage, taille, levage et pose des ouvrages.</t>
  </si>
  <si>
    <t>Accessible après un CAP charpentier bois ou un Bac Pro technicien constructeur bois</t>
  </si>
  <si>
    <t>Technicien-ne ES en technique du bois</t>
  </si>
  <si>
    <t>Conçoit et gère des projets dans la construction bois, la menuiserie-ébénisterie ou l'industrie du bois, en alliant expertise technique et gestion économique.</t>
  </si>
  <si>
    <t>Accessible après un CFC/CAP/Bac Pro du bois : menuiserie, charpente, scierie...</t>
  </si>
  <si>
    <t>Ingénieur du bois</t>
  </si>
  <si>
    <t>Conçoit et dimensionne des structures en bois, avec une spécialisation en charpente (études techniques, restauration de charpentes anciennes), en alliant connaissance du matériau bois et calcul de structures.</t>
  </si>
  <si>
    <t>Responsable de production de scierie</t>
  </si>
  <si>
    <t>Encadre les équipes de sciage, organise la production selon les commandes, gère les achats de bois et le suivi qualité/rendement, avec un rôle de plus en plus technico-commercial.</t>
  </si>
  <si>
    <t>Accessible après un CAP/Bac Pro technicien de scierie ou un BTS développement et réalisation bois</t>
  </si>
  <si>
    <t>Directeur de production bois</t>
  </si>
  <si>
    <t>Définit la stratégie de fabrication, pilote l'ensemble de la production (coûts, qualité, délais, sécurité) et encadre les équipes d'un site industriel du bois.</t>
  </si>
  <si>
    <t>Directeur industriel, responsable de parc à grumes</t>
  </si>
  <si>
    <t>Pilote la stratégie industrielle d'une scierie et gère la réception, le tri et l'approvisionnement du parc à grumes pour alimenter la production.</t>
  </si>
  <si>
    <t>Responsable de laboratoire</t>
  </si>
  <si>
    <t>Dirige le laboratoire de contrôle qualité d'une entreprise du bois : essais et analyses sur les produits, vérification de la conformité aux normes, avant leur mise sur le marché.</t>
  </si>
  <si>
    <t>Responsable de développement QSE</t>
  </si>
  <si>
    <t>Pilote la politique Qualité, Sécurité, Environnement d'une entreprise du bois : veille réglementaire, plans d'actions, certifications et prévention des risques.</t>
  </si>
  <si>
    <t>Responsable de bureau d'études menuiserie/charpente</t>
  </si>
  <si>
    <t>Dirige le bureau d'études techniques d'une entreprise de restauration du patrimoine, en lien direct avec les ateliers de charpente et de menuiserie : relevés, calculs de structure, conseils architecturaux.</t>
  </si>
  <si>
    <t>Chargé d'affaires menuiserie</t>
  </si>
  <si>
    <t>Pilote des projets de menuiserie de A à Z : relation client, devis, suivi technique et financier, coordination avec les équipes d'atelier et de pose.</t>
  </si>
  <si>
    <t>Accessible via un BTS/Bac Pro + expérience, ou une Licence pro Commerce</t>
  </si>
  <si>
    <t>Chargée d'études menuiserie/charpente</t>
  </si>
  <si>
    <t>Réalise les études techniques d'un projet de menuiserie ou charpente : relevés, plans d'exécution, notes de calcul, en lien avec les architectes et les ateliers.</t>
  </si>
  <si>
    <t>Accessible après un BTS systèmes constructifs bois et habitat ou un BTS développement et réalisation bois</t>
  </si>
  <si>
    <t>Commerciale négoce bois</t>
  </si>
  <si>
    <t>Assure la vente et la négociation des produits bois auprès des clients professionnels (menuisiers, charpentiers, industriels), gère les commandes et les relations fournisseurs.</t>
  </si>
  <si>
    <t>Génétique</t>
  </si>
  <si>
    <t>Ingénieur en génomique végétale</t>
  </si>
  <si>
    <t>Analyse le génome des plantes pour identifier des gènes d'intérêt agronomique.</t>
  </si>
  <si>
    <t>Généticien des populations</t>
  </si>
  <si>
    <t>Étudie la diversité génétique au sein des populations animales ou végétales.</t>
  </si>
  <si>
    <t>Conseiller en génétique</t>
  </si>
  <si>
    <t>Accompagne les patients dans la compréhension des maladies génétiques héréditaires.</t>
  </si>
  <si>
    <t>Généticien clinicien</t>
  </si>
  <si>
    <t>Médecin spécialiste qui diagnostique les maladies d'origine génétique.</t>
  </si>
  <si>
    <t>Cytogénéticien</t>
  </si>
  <si>
    <t>Analyse les chromosomes des cellules pour détecter des anomalies.</t>
  </si>
  <si>
    <t>Ingénieur en cytogénétique</t>
  </si>
  <si>
    <t>Réalise des analyses chromosomiques en laboratoire hospitalier ou de recherche.</t>
  </si>
  <si>
    <t>Technicien de laboratoire en génétique</t>
  </si>
  <si>
    <t>Prépare et analyse les échantillons biologiques pour les tests génétiques.</t>
  </si>
  <si>
    <t>Traite et interprète les données génomiques pour comprendre l'hérédité.</t>
  </si>
  <si>
    <t>Biologiste en génétique moléculaire</t>
  </si>
  <si>
    <t>Analyse l'ADN et l'ARN pour diagnostiquer des maladies ou mener des recherches.</t>
  </si>
  <si>
    <t>Fœtopathologiste</t>
  </si>
  <si>
    <t>Médecin spécialisé qui réalise des autopsies sur les fœtus ou les nouveau-nés décédés</t>
  </si>
  <si>
    <t>Chercheur en génétique en milieu hospitalier</t>
  </si>
  <si>
    <t>Mène des recherches sur les bases génétiques des maladies en contexte hospitalier.</t>
  </si>
  <si>
    <t>Paléogénéticien</t>
  </si>
  <si>
    <t>Extrait et analyse l'ADN ancien d'ossements pour reconstituer l'histoire évolutive.</t>
  </si>
  <si>
    <t>Géosciences</t>
  </si>
  <si>
    <t>Licences STU, prépa BCPST</t>
  </si>
  <si>
    <t>Ingénieur·e géologue</t>
  </si>
  <si>
    <t>Étudie les roches et sols pour des projets d'exploration minière ou de génie civil.</t>
  </si>
  <si>
    <t>Géophysicien</t>
  </si>
  <si>
    <t>Utilise des méthodes de mesures physiques pour analyser les structures et les propriétés du sous-sol afin d'en comprendre la composition et la géométrie</t>
  </si>
  <si>
    <t>Ingénieure chercheuse en thermohydraulique</t>
  </si>
  <si>
    <t>SVT + Physique-Chimie + Maths en 1ère ; SVT non conservée en Terminale (garder Physique-Chimie + Maths)</t>
  </si>
  <si>
    <t>Étudie les transferts de chaleur et les écoulements de fluides (thermohydraulique) pour la conception et la sûreté d'installations énergétiques (nucléaire, industrie).</t>
  </si>
  <si>
    <t>SVT+PC+Maths (1ère) → PC+Maths (Tle)</t>
  </si>
  <si>
    <t>Climatologue</t>
  </si>
  <si>
    <t>Étudie les variations du climat et modélise les évolutions futures.</t>
  </si>
  <si>
    <t>Litholamelleur</t>
  </si>
  <si>
    <t>Prépare des lames minces de roches pour l'analyse microscopique en géologie.</t>
  </si>
  <si>
    <t>Ingénieure d'études en climat urbain</t>
  </si>
  <si>
    <t>Réalise des études sur le climat local d'une ville et évalue l'impact de certains aménagements urbains sur la température et la température ressentie.</t>
  </si>
  <si>
    <t>Étudie la composition isotopique des cernes d'arbres (dendro-isotopie) pour dater des échantillons et reconstituer les paléoclimats.</t>
  </si>
  <si>
    <t>Paléoclimatologue</t>
  </si>
  <si>
    <t>Reconstitue les climats du passé (carottes de glace, archives naturelles) pour mieux comprendre et modéliser le changement climatique actuel.</t>
  </si>
  <si>
    <t>Cheffe de service stratégie recherche et innovation (ministère)</t>
  </si>
  <si>
    <t>Ancienne chercheuse en géosciences au CNRS, pilote aujourd'hui la stratégie de la recherche et de l'innovation au ministère de l'Enseignement supérieur, de la Recherche et de l'Innovation.</t>
  </si>
  <si>
    <t>Maître de conférences en sciences de la Terre</t>
  </si>
  <si>
    <t>Enseigne les sciences de la Terre à l'université et coresponsable de la formation, tout en menant des activités de recherche en géosciences.</t>
  </si>
  <si>
    <t>Directrice de recherche CNRS en pédologie</t>
  </si>
  <si>
    <t>Docteure en pédologie, dirige des recherches sur les interactions sol-plantes-microorganismes et la biodégradation des polluants dans les sols, et dirige OTELo (Observatoire Terre et Environnement de Lorraine).</t>
  </si>
  <si>
    <t>Professeure des universités, directrice d'école d'ingénieurs en géologie</t>
  </si>
  <si>
    <t>Professeure des universités, dirige une grande école d'ingénieurs géologues et mène des recherches sur la géophysique et la pétrophysique des réservoirs fracturés (géothermie profonde).</t>
  </si>
  <si>
    <t>Directrice Engagement Société Civile (groupe pétrolier)</t>
  </si>
  <si>
    <t>Ingénieure géologue de formation, a dirigé les géosciences puis la R&amp;D d'un groupe pétrolier avant de piloter son engagement société civile et sa fondation d'entreprise.</t>
  </si>
  <si>
    <t>Géologue et géophysicienne, dirigeante d'entreprise</t>
  </si>
  <si>
    <t>A dirigé la recherche du BRGM et dirige aujourd'hui IRIS Instruments, entreprise du BRGM qui conçoit des instruments géophysiques pour l'exploration du sous-sol.</t>
  </si>
  <si>
    <t>Réalise des essais en laboratoire (batch, cellules de diffusion) pour étudier la migration de radionucléides dans des roches naturelles, dans le cadre de la recherche sur l'enfouissement des déchets radioactifs.</t>
  </si>
  <si>
    <t>Géotechnique</t>
  </si>
  <si>
    <t>Écoles d'ingénieurs, licence STU</t>
  </si>
  <si>
    <t>Géotechnicien</t>
  </si>
  <si>
    <t>Analyse les caractéristiques mécaniques des sols pour des projets de construction.</t>
  </si>
  <si>
    <t>Technicienne Laboratoire</t>
  </si>
  <si>
    <t>Réalise des essais mécaniques sur des échantillons de sol en laboratoire.</t>
  </si>
  <si>
    <t>Chef sondeur</t>
  </si>
  <si>
    <t>Dirige les opérations de forage géotechnique pour prélever des carottes de sol.</t>
  </si>
  <si>
    <t>Sondeur géotechnique</t>
  </si>
  <si>
    <t>Effectue des prélèvements de terrain pour analyser les sols.</t>
  </si>
  <si>
    <t>Ingénieur·e géotechnique</t>
  </si>
  <si>
    <t>Conçoit les fondations des ouvrages en analysant les contraintes du sol.</t>
  </si>
  <si>
    <t>Chargé d'affaires géotechnique</t>
  </si>
  <si>
    <t>Gère des projets d'études de sol de la prospection aux rapports.</t>
  </si>
  <si>
    <t>SVT + Physique-Chimie ou SVT + NSI</t>
  </si>
  <si>
    <t>Utile en 1ère ; en Tle, Maths + NSI ou Maths + Physique-Chimie conseillé (Maths compl. si Physique-Chimie/NSI + SVT conservées)</t>
  </si>
  <si>
    <t>SVT+PC | SVT+NSI</t>
  </si>
  <si>
    <t>SVT+NSI</t>
  </si>
  <si>
    <t>Les métiers de la géotechnique</t>
  </si>
  <si>
    <t>Présentation des différents métiers du secteur de l'étude des sols.</t>
  </si>
  <si>
    <t>Référent BIM</t>
  </si>
  <si>
    <t>Construit et gère la maquette numérique 3D d'un bâtiment (BIM) pour coordonner tous les acteurs d'un projet de construction, de la conception aux travaux.</t>
  </si>
  <si>
    <t>Géomètre 3D chargé d'étude</t>
  </si>
  <si>
    <t>Réalise des relévés topographiques et des numérisations 3D (scanner laser, drone) de terrains et de bâtiments pour produire des plans et modèles exploitables par les bureaux d'études.</t>
  </si>
  <si>
    <t>Hydrogéologie</t>
  </si>
  <si>
    <t>Licence STU, masters hydrogéologie</t>
  </si>
  <si>
    <t>Hydrogéologue</t>
  </si>
  <si>
    <t>Gère l'ensemble du cycle de l'eau potable, de l'optimisation des ressources naturelles (souterraines et de surface) jusqu'à la maîtrise d'ouvrage des installations de production et de distribution</t>
  </si>
  <si>
    <t>Technicien·ne hydrogéologue</t>
  </si>
  <si>
    <t>Réalise des mesures de terrain pour caractériser les nappes phréatiques.</t>
  </si>
  <si>
    <t>Ingénieur hydrogéologue</t>
  </si>
  <si>
    <t>Etudie le comportement de l'eau souterraine pour accompagner les projets d'aménagement et de construction tout en préservant les équilibres naturels</t>
  </si>
  <si>
    <t>Chargée de missions scientifique biodiversité</t>
  </si>
  <si>
    <t>Étudie la biodiversité des milieux aquatiques et propose des mesures de préservation.</t>
  </si>
  <si>
    <t>Responsable d'exploitation de l'eau</t>
  </si>
  <si>
    <t>Supervise l'exploitation d'un service public d'assainissement (stations d'épuration, postes de relevage, réseaux de canalisations) pour garantir le traitement des eaux usées et protéger l'environnement.</t>
  </si>
  <si>
    <t>Responsable adjoint d'une station d'épuration</t>
  </si>
  <si>
    <t>Supervise l'exploitation d'une station d'épuration : suivi des contrats prestataires, contrôle de la qualité du traitement des eaux usées et pilotage de projets d'innovation (ex. production de biogaz).</t>
  </si>
  <si>
    <t>Agent d'exploitation de l'eau</t>
  </si>
  <si>
    <t>Intervient sur le terrain pour prévenir les pollutions, déboucher les réseaux et sécuriser les installations d'un service public d'assainissement ; métier accessible sans diplôme spécifique, avec formation sur le terrain.</t>
  </si>
  <si>
    <t>Météorologie</t>
  </si>
  <si>
    <t>Prépa BCPST/MPSI/PCSI, école de Météo-France</t>
  </si>
  <si>
    <t>Prévisionniste à Météo France</t>
  </si>
  <si>
    <t>Analyse les données atmosphériques pour établir des prévisions météorologiques.</t>
  </si>
  <si>
    <t>Prévisionniste aéronautique</t>
  </si>
  <si>
    <t>Fournit des prévisions météorologiques spécialisées pour la sécurité du trafic aérien.</t>
  </si>
  <si>
    <t>Prévisionniste avalanches</t>
  </si>
  <si>
    <t>Évalue les risques d'avalanche en montagne et diffuse des bulletins de sécurité.</t>
  </si>
  <si>
    <t>Météorologue océanographe dans l'armée</t>
  </si>
  <si>
    <t>Réalise des analyses météo et océanographiques pour les opérations militaires.</t>
  </si>
  <si>
    <t>Ingénieur météo</t>
  </si>
  <si>
    <t>Développe des modèles pour améliorer la précision des prévisions météorologiques.</t>
  </si>
  <si>
    <t>Météorologiste conseil en aéronautique</t>
  </si>
  <si>
    <t>Produit des bulletins météorologiques à partir de modèles pour permettre aux avions de décoller et atterrir en toute sécurité, avec des informations claires pour pilotes et personnels aéroportuaires.</t>
  </si>
  <si>
    <t>Technicien chargé de maintenance, météo et climat</t>
  </si>
  <si>
    <t>Teste, déploie et installe les instruments de mesure (vent, humidité...) et veille au bon fonctionnement du réseau d'appareils utilisé pour la prévision météo.</t>
  </si>
  <si>
    <t>Ingénieur en modélisation de la qualité de l'air</t>
  </si>
  <si>
    <t>Modélise les réactions chimiques et la dispersion des polluants atmosphériques (particules, ozone) pour prévoir la qualité de l'air et construire des scénarios d'action visant à l'améliorer.</t>
  </si>
  <si>
    <t>Missions scientifiques</t>
  </si>
  <si>
    <t>Formations scientifiques variées (TAAF, instituts polaires)</t>
  </si>
  <si>
    <t>Les métiers du Marion Dufresne</t>
  </si>
  <si>
    <t>Présentation des métiers à bord du navire océanographique Marion Dufresne.</t>
  </si>
  <si>
    <t>Les scientifiques du Marion Dufresne</t>
  </si>
  <si>
    <t>Témoignages de chercheurs participant aux missions scientifiques polaires et océaniques.</t>
  </si>
  <si>
    <t>Chargé de mission scientifique</t>
  </si>
  <si>
    <t>Coordonne des projets de recherche scientifique : suivi budgétaire, appui aux équipes de terrain et valorisation des résultats auprès des partenaires et institutions.</t>
  </si>
  <si>
    <t>Neurosciences</t>
  </si>
  <si>
    <t>Licences bio, médecine (PASS/L.AS)</t>
  </si>
  <si>
    <t>Chercheur en neurobiologie</t>
  </si>
  <si>
    <t>Étudie le fonctionnement du cerveau à l'échelle cellulaire et moléculaire.</t>
  </si>
  <si>
    <t>SVT + NSI, ou SVT + Maths</t>
  </si>
  <si>
    <t>Médecin-chercheur en neurosciences</t>
  </si>
  <si>
    <t>Combine activité clinique et recherche sur les maladies neurologiques.</t>
  </si>
  <si>
    <t>Neuropsychologue</t>
  </si>
  <si>
    <t>Évalue les fonctions cognitives et accompagne les patients ayant des lésions cérébrales.</t>
  </si>
  <si>
    <t>Neurochirurgienne à l'hôpital</t>
  </si>
  <si>
    <t>Diagnostique et opère les pathologies du cerveau, de la moelle épinière et du système nerveux au bloc opératoire.</t>
  </si>
  <si>
    <t>Chercheuse en neurosciences</t>
  </si>
  <si>
    <t>Recherche les causes du syndrome des ovaires polykystiques (SOPK), un dérèglement hormonal touchant la fertilité féminine, à l'aide d'un modèle préclinique en laboratoire.</t>
  </si>
  <si>
    <t>Psychologue clinicien et chercheur en neurosciences cognitives</t>
  </si>
  <si>
    <t>Chercheur en neurosciences cognitives (perception, mémoire, prise de décision) et psychologue clinicien spécialisé dans les troubles anxieux (phobie sociale) en cabinet libéral.</t>
  </si>
  <si>
    <t>Neurologue</t>
  </si>
  <si>
    <t>Diagnostique et traite les maladies du système nerveux (cerveau, moelle épinière, nerfs) sans recourir à la chirurgie.</t>
  </si>
  <si>
    <t>Océanographie</t>
  </si>
  <si>
    <t>Licence STU, prépa BCPST, masters</t>
  </si>
  <si>
    <t>Chercheur en océanographie / Grands pélagiques</t>
  </si>
  <si>
    <t>Étudie les grands pélagiques au sein des écosystèmes marins.</t>
  </si>
  <si>
    <t>Chercheur en écotoxicologie marine</t>
  </si>
  <si>
    <t>Analyse l'impact des polluants sur les écosystèmes marins.</t>
  </si>
  <si>
    <t>Écotoxicologue</t>
  </si>
  <si>
    <t>Étudie l'impact des microplastiques et nanoplastiques sur les organismes marins (huîtres, invertébrés) au sein d'un centre de recherche sur les pollutions aquatiques (Cedre).</t>
  </si>
  <si>
    <t>Chercheur en écologie marine</t>
  </si>
  <si>
    <t>Étudie les écosystèmes marins</t>
  </si>
  <si>
    <t>Océanographe</t>
  </si>
  <si>
    <t>Etudie les océans ou les systèmes de type marin / grands lacs</t>
  </si>
  <si>
    <t>Ingénieur océanographe</t>
  </si>
  <si>
    <t>Développe des instruments pour l'acquisition de données en milieu marin.</t>
  </si>
  <si>
    <t>Biologiste marin responsable aquariologie</t>
  </si>
  <si>
    <t>Gère des collections d'animaux marins vivants dans un aquarium ou centre de recherche.</t>
  </si>
  <si>
    <t>Biologiste marin à Tahiti</t>
  </si>
  <si>
    <t>Étudie la biodiversité des récifs coralliens et les écosystèmes tropicaux.</t>
  </si>
  <si>
    <t>Agent de la réserve marine</t>
  </si>
  <si>
    <t>Surveille et protège une aire marine protégée.</t>
  </si>
  <si>
    <t>Vétérinaire marin</t>
  </si>
  <si>
    <t>Assure le suivi sanitaire des mammifères marins en captivité ou lors d'échouages.</t>
  </si>
  <si>
    <t>Bioacousticienne marine</t>
  </si>
  <si>
    <t>Étudie les sons produits par les animaux marins pour comprendre leurs comportements.</t>
  </si>
  <si>
    <t>Ingénieure hydrographe</t>
  </si>
  <si>
    <t>Etudie les marées, les courants, les vagues et la bathymétrie pour sécuriser la navigation.</t>
  </si>
  <si>
    <t>Analyse les données génomiques des organismes marins.</t>
  </si>
  <si>
    <t>Ingénieur de recherche en biologie marine</t>
  </si>
  <si>
    <t>Conçoit des expériences sur les organismes marins en laboratoire ou en mer.</t>
  </si>
  <si>
    <t>Ingénieur halieutique</t>
  </si>
  <si>
    <t>Étudie et gère les ressources de pêche pour une exploitation durable.</t>
  </si>
  <si>
    <t>Contrôleur de pêche</t>
  </si>
  <si>
    <t>Vérifie le respect des réglementations de pêche en mer et dans les ports.</t>
  </si>
  <si>
    <t>Chargée de mission pêche maritime - OFB</t>
  </si>
  <si>
    <t>Surveille les écosystèmes halieutiques pour une pêche respectueuse de la biodiversité.</t>
  </si>
  <si>
    <t>Chargée d'études scientifiques - Kelonia</t>
  </si>
  <si>
    <t>Étudie les tortues marines et participe à leur conservation.</t>
  </si>
  <si>
    <t>Chercheuse en biogéochimie marine</t>
  </si>
  <si>
    <t>Analyse les cycles des éléments chimiques dans l'océan.</t>
  </si>
  <si>
    <t>Chercheuse/conseillère scientifique au Biodôme de Montréal</t>
  </si>
  <si>
    <t>Mène des recherches en écophysiologie des poissons et conseille sur la conservation d'espèces à statut particulier (espèces pêchées, domestiques ou menacées) au sein de l'écosystème marin du Biodôme de Montréal.</t>
  </si>
  <si>
    <t>Chargée d'études en océanographie</t>
  </si>
  <si>
    <t>Après un master en biologie marine et une thèse de doctorat en océanographie, étudie l'impact de l'homme sur le milieu marin.</t>
  </si>
  <si>
    <t>Ouvrière ostréicole en écloserie</t>
  </si>
  <si>
    <t>Élève des huîtres et des palourdes en micro-nurserie d'écloserie : entretien du milieu, tri, comptage et alimentation des juvéniles.</t>
  </si>
  <si>
    <t>Ostréiculteur</t>
  </si>
  <si>
    <t>Élève des huîtres en pleine mer ou sur estran (captage, détroquage, affinage) et gère l'exploitation ostréicole jusqu'à la commercialisation.</t>
  </si>
  <si>
    <t>Patron pêcheur</t>
  </si>
  <si>
    <t>Dirige un bateau de pêche et son équipage : navigation, gestion des sorties selon la météo, mise à l'eau et remontée du chalut, tri et conditionnement de la pêche.</t>
  </si>
  <si>
    <t>Mytiliculteur</t>
  </si>
  <si>
    <t>Élève des moules en mer (pose des cordes, surveillance de la croissance, récolte) puis les trie, les nettoie et les conditionne avant expédition.</t>
  </si>
  <si>
    <t>Responsable équipe environnement offshore</t>
  </si>
  <si>
    <t>Encadre une équipe chargée du suivi environnemental des installations offshore : surveillance de la biodiversité marine, conformité réglementaire et gestion des impacts écologiques des opérations en mer.</t>
  </si>
  <si>
    <t>Optique &amp; Vision</t>
  </si>
  <si>
    <t>Licences bio (orthoptie), physique, PASS</t>
  </si>
  <si>
    <t>Ophtalmologiste</t>
  </si>
  <si>
    <t>Médecin spécialiste qui diagnostique et traite les maladies de l'œil.</t>
  </si>
  <si>
    <t>Orthoptiste</t>
  </si>
  <si>
    <t>Rééduque les troubles de la vision et de la motricité oculaire.</t>
  </si>
  <si>
    <t>Opticien-Lunetier</t>
  </si>
  <si>
    <t>Réalise et adapte les équipements optiques correcteurs sur prescription médicale.</t>
  </si>
  <si>
    <t>Optométriste</t>
  </si>
  <si>
    <t>Réalise des examens visuels complets et adapte les corrections optiques.</t>
  </si>
  <si>
    <t>Ingénieur R&amp;D en photonique</t>
  </si>
  <si>
    <t>Développe des technologies optiques pour des applications médicales ou industrielles.</t>
  </si>
  <si>
    <t>Paléontologie</t>
  </si>
  <si>
    <t>Licence SVT puis master paléontologie</t>
  </si>
  <si>
    <t>Paléontologue</t>
  </si>
  <si>
    <t>Étudie les fossiles pour reconstituer l'histoire de la vie sur Terre.</t>
  </si>
  <si>
    <t>Technicien préparateur en paléontologie</t>
  </si>
  <si>
    <t>Dégage et prépare les fossiles découverts sur les sites de fouilles.</t>
  </si>
  <si>
    <t>Conservateur en paléontologie</t>
  </si>
  <si>
    <t>Gère et valorise les collections de fossiles d'un muséum.</t>
  </si>
  <si>
    <t>Restauratrice de fossiles</t>
  </si>
  <si>
    <t>Nettoie, reconstitue et stabilise les fossiles pour exposition ou étude.</t>
  </si>
  <si>
    <t>Préparateur-mouleur</t>
  </si>
  <si>
    <t>Réalise des moulages de fossiles pour des musées ou centres de recherche.</t>
  </si>
  <si>
    <t>Pharmacie</t>
  </si>
  <si>
    <t>PASS ou L.AS (filière pharmacie)</t>
  </si>
  <si>
    <t>Directeur de recherche dans un laboratoire pharmaceutique</t>
  </si>
  <si>
    <t>Dirige les programmes de recherche pour développer de nouveaux médicaments.</t>
  </si>
  <si>
    <t>Responsable qualité / Directeur dans un laboratoire pharmaceutique</t>
  </si>
  <si>
    <t>Garantit la conformité des médicaments aux normes de qualité et sécurité.</t>
  </si>
  <si>
    <t>Chef·fe de projet en pharmacologie</t>
  </si>
  <si>
    <t>Coordonne les études précliniques et cliniques sur les médicaments.</t>
  </si>
  <si>
    <t>Étudie les micro-organismes dans un contexte de recherche ou industriel.</t>
  </si>
  <si>
    <t>Pharmacien hospitalier</t>
  </si>
  <si>
    <t>Gère les médicaments et dispositifs médicaux stériles dans un hôpital.</t>
  </si>
  <si>
    <t>Pharmacien d'officine</t>
  </si>
  <si>
    <t>Délivre les médicaments et conseille les patients en pharmacie de ville.</t>
  </si>
  <si>
    <t>Pharmacienne de la distribution en gros</t>
  </si>
  <si>
    <t>Assure l'approvisionnement, le stockage et la répartition des médicaments entre les laboratoires et les pharmacies, en garantissant leur qualité et leur traçabilité.</t>
  </si>
  <si>
    <t>Pharmacienne industrielle</t>
  </si>
  <si>
    <t>Participe à la production, au contrôle qualité et à la fabrication des médicaments au sein de l'industrie pharmaceutique.</t>
  </si>
  <si>
    <t>Chercheuse/Assistante hospitalo-universitaire en pharmacie</t>
  </si>
  <si>
    <t>Combine enseignement, recherche et pratique clinique pharmaceutique.</t>
  </si>
  <si>
    <t>Biologiste médical</t>
  </si>
  <si>
    <t>Dirige un laboratoire d'analyses médicales et interprète les résultats.</t>
  </si>
  <si>
    <t>Pharmacien en biologie médicale</t>
  </si>
  <si>
    <t>Dirige un laboratoire d'analyses médicales et interprète les résultats, après une spécialisation en biologie médicale accessible depuis les études de pharmacie.</t>
  </si>
  <si>
    <t>Technicien de laboratoire</t>
  </si>
  <si>
    <t>Réalise des analyses biologiques sur les prélèvements des patients.</t>
  </si>
  <si>
    <t>Technicien qualité dans l'industrie pharmaceutique</t>
  </si>
  <si>
    <t>Vérifie tout ce qui sort de production pour s'assurer que les produits sont conformes au cahier des charges avant d'être envoyés chez le client ; rigueur et vigilance sont indispensables pour exercer ce métier.</t>
  </si>
  <si>
    <t>Technicien de maintenance dans l'industrie pharmaceutique</t>
  </si>
  <si>
    <t>SVT + Physique-Chimie</t>
  </si>
  <si>
    <t>Assure le bon fonctionnement des équipements de production, les dépanne et les améliore ; patience et détermination sont indispensables pour exercer ce métier.</t>
  </si>
  <si>
    <t>Niveau BTS ou BUT (BTS Maintenance des systèmes, BUT Génie industriel et maintenance, BTS Électrotechnique ou équivalent) requis in fine pour ce poste.</t>
  </si>
  <si>
    <t>SVT+PC</t>
  </si>
  <si>
    <t>Associé·e de recherche clinique</t>
  </si>
  <si>
    <t>Participe à la conduite et au suivi des essais cliniques.</t>
  </si>
  <si>
    <t>Physiologie humaine</t>
  </si>
  <si>
    <t>Licences bio, médecine (PASS)</t>
  </si>
  <si>
    <t>Directrice de Recherche au laboratoire Biomécanique et Bioingénierie</t>
  </si>
  <si>
    <t>Dirige des recherches sur la mécanique du corps humain pour des applications médicales.</t>
  </si>
  <si>
    <t>Enseignant chercheur en sciences du sport</t>
  </si>
  <si>
    <t>Combine enseignement universitaire et recherche sur la physiologie de l'exercice.</t>
  </si>
  <si>
    <t>Chercheuse en physiologie - cancer du sein</t>
  </si>
  <si>
    <t>Étudie les mécanismes physiologiques impliqués dans le cancer du sein.</t>
  </si>
  <si>
    <t>Police scientifique</t>
  </si>
  <si>
    <t>Licence bio ou chimie, masters criminalistique</t>
  </si>
  <si>
    <t>Ingénieur de la police scientifique</t>
  </si>
  <si>
    <t>Analyse les indices de scènes de crime à l'aide de techniques scientifiques.</t>
  </si>
  <si>
    <t>Technicienne de la police scientifique</t>
  </si>
  <si>
    <t>Prélève et analyse les traces biologiques et chimiques sur les scènes de crime.</t>
  </si>
  <si>
    <t>Entomologiste légal à la gendarmerie nationale</t>
  </si>
  <si>
    <t>Utilise l'étude des insectes pour déterminer la date de décès dans les enquêtes.</t>
  </si>
  <si>
    <t>Médecin légiste</t>
  </si>
  <si>
    <t>Réalise des autopsies et expertises médico-légales pour élucider les causes de décès.</t>
  </si>
  <si>
    <t>Protège l'environnement en montagne : prévention, éducation du public sur la réglementation et répression (procès-verbaux) en cas d'infraction.</t>
  </si>
  <si>
    <t>Agent d'évaluation du comportement</t>
  </si>
  <si>
    <t>Évalue le comportement humain (témoins, suspects, victimes) dans le cadre d'enquêtes de police scientifique, à l'aide de techniques d'analyse comportementale.</t>
  </si>
  <si>
    <t>Psychologie/Psychiatrie et travail social</t>
  </si>
  <si>
    <t>SVT + Physique-Chimie (psychiatrie) ou SVT + SES (psychologie)</t>
  </si>
  <si>
    <t>PASS/médecine (psychiatrie) ; licence de psychologie</t>
  </si>
  <si>
    <t>SVT+PC | SVT+SES</t>
  </si>
  <si>
    <t>Psychomotricien</t>
  </si>
  <si>
    <t>Rééduque les troubles du mouvement et de l'expression corporelle.</t>
  </si>
  <si>
    <t>Psychiatre</t>
  </si>
  <si>
    <t>Médecin spécialiste qui diagnostique et traite les maladies mentales.</t>
  </si>
  <si>
    <t>Préparateur mental (sport professionnel)</t>
  </si>
  <si>
    <t>Accompagne les sportifs de haut niveau dans la gestion du stress et des performances mentales.</t>
  </si>
  <si>
    <t>Psychologue</t>
  </si>
  <si>
    <t>Évalue et accompagne les personnes en souffrance psychologique par des entretiens et thérapies.</t>
  </si>
  <si>
    <t>Éducateur spécialisé</t>
  </si>
  <si>
    <t>Accompagne des jeunes en difficulté (unité éducative d'hébergement diversifié) dans leur parcours éducatif, social et personnel, en lien avec la protection judiciaire de la jeunesse.</t>
  </si>
  <si>
    <t>Éducateur de jeunes enfants</t>
  </si>
  <si>
    <t>Accompagne le développement, l'éveil et l'autonomie des jeunes enfants (0-7 ans) en crèche, halte-garderie ou institution spécialisée.</t>
  </si>
  <si>
    <t>Psychologue clinicien spécialisé en thérapies brèves et troubles anxieux (phobie sociale) ; docteur en neurosciences cognitives et titulaire d'un master en psychologie clinique.</t>
  </si>
  <si>
    <t>Responsabilité sociétale des entreprises</t>
  </si>
  <si>
    <t>SVT + SES ou SVT + HGGSP ou SVT + Maths</t>
  </si>
  <si>
    <t>IEP, écoles ; SVT pour les enjeux environnementaux ; licences professionnelles</t>
  </si>
  <si>
    <t>SVT+* | SVT+SES | SVT+HGGSP | SVT+Maths</t>
  </si>
  <si>
    <t>Responsable RSE à la Banque de France</t>
  </si>
  <si>
    <t>SVT + SES ou SVT + HGGSP</t>
  </si>
  <si>
    <t>Pilote la politique de responsabilité sociale et environnementale d'une grande institution.</t>
  </si>
  <si>
    <t>SVT+* | SVT+SES | SVT+HGGSP</t>
  </si>
  <si>
    <t>Responsable Hygiène Santé Environnement</t>
  </si>
  <si>
    <t>Gère les risques professionnels et environnementaux dans une entreprise industrielle.</t>
  </si>
  <si>
    <t>Coordinatrice RSE</t>
  </si>
  <si>
    <t>Met en œuvre et suit les engagements environnementaux et sociaux d'une organisation.</t>
  </si>
  <si>
    <t>Ingénieure Environnement chez Eiffage</t>
  </si>
  <si>
    <t>Veille au respect des normes environnementales sur les chantiers et sites d'un groupe de construction : gestion des rejets, des déchets et de l'impact écologique des activités.</t>
  </si>
  <si>
    <t>Chargée de la responsabilité sociale et environnementale (RSE)</t>
  </si>
  <si>
    <t>Pilote les engagements sociaux et environnementaux d'un établissement culturel (ex. : opéra), en lien avec ses équipes et ses partenaires.</t>
  </si>
  <si>
    <t>Responsable Qualité, Sécurité, Environnement (QSE)</t>
  </si>
  <si>
    <t>Pilote la politique qualité, sécurité et environnement d'une entreprise : conformité réglementaire, prévention des risques et amélioration continue.</t>
  </si>
  <si>
    <t>Pilote les engagements sociétaux et environnementaux volontaires d'un grand groupe et dirige sa fondation d'entreprise, après une carrière de géologue puis de directrice R&amp;D.</t>
  </si>
  <si>
    <t>Encadre l'équipe environnement d'un site offshore (plateforme pétrolière ou parc éolien) : suivi réglementaire, gestion des rejets et prévention des impacts sur le milieu marin.</t>
  </si>
  <si>
    <t>Évalue l'impact économique, environnemental et climatique des politiques publiques et des accords commerciaux internationaux (ex. accord UE-Mercosur), et formule des recommandations pour intégrer le développement durable aux négociations (Inrae, École d'économie de Toulouse).</t>
  </si>
  <si>
    <t>Experte en calcul carbone</t>
  </si>
  <si>
    <t>SVT + Physique-Chimie, ou SVT + Maths</t>
  </si>
  <si>
    <t>MC si Maths non conservée</t>
  </si>
  <si>
    <t>Analyse les bilans carbone en comptabilisant les émissions de gaz à effet de serre sur tout le cycle de vie d'un projet (matériaux, chantier, usage, fin de vie).</t>
  </si>
  <si>
    <t>Master Génie de l'environnement, puis spécialisation en calcul carbone.</t>
  </si>
  <si>
    <t>Cadre supérieur de santé à l'hôpital</t>
  </si>
  <si>
    <t>Manage les équipes de soins et coordonne l'organisation d'un service hospitalier.</t>
  </si>
  <si>
    <t>Infirmiers anesthésistes</t>
  </si>
  <si>
    <t>Assiste le médecin anesthésiste et gère la sédation des patients en salle d'opération.</t>
  </si>
  <si>
    <t>Infirmier de Bloc Opératoire (IBODE)</t>
  </si>
  <si>
    <t>Assiste les chirurgiens pendant les opérations en gérant l'instrumentation stérile.</t>
  </si>
  <si>
    <t>Infirmier·ère hygiéniste à l'hôpital</t>
  </si>
  <si>
    <t>Prévient les infections nosocomiales en contrôlant les pratiques d'hygiène.</t>
  </si>
  <si>
    <t>Infirmier libéral</t>
  </si>
  <si>
    <t>Prodigue des soins à domicile sur prescription médicale en toute autonomie.</t>
  </si>
  <si>
    <t>Infirmier·ère coordinateur·rice en HAD</t>
  </si>
  <si>
    <t>Coordonne les soins des patients hospitalisés à domicile.</t>
  </si>
  <si>
    <t>Infirmier·ère en hospitalisation à domicile</t>
  </si>
  <si>
    <t>Assure les soins infirmiers quotidiens des patients pris en charge en hospitalisation à domicile (HAD), sous la coordination de l'équipe soignante.</t>
  </si>
  <si>
    <t>Infirmier·ère de santé au travail</t>
  </si>
  <si>
    <t>Surveille la santé des salariés et prévient les risques professionnels.</t>
  </si>
  <si>
    <t>Infirmier·ère en santé scolaire</t>
  </si>
  <si>
    <t>Assure le suivi de santé, la prévention et l'éducation à la santé des élèves au sein des établissements scolaires (Éducation nationale).</t>
  </si>
  <si>
    <t>Infirmier·ère en pratique avancée (IPA)</t>
  </si>
  <si>
    <t>Assure des consultations et prescriptions dans un domaine spécialisé avec grande autonomie.</t>
  </si>
  <si>
    <t>Infirmière puéricultrice</t>
  </si>
  <si>
    <t>Assure les soins et le suivi du développement des nouveau-nés, nourrissons et jeunes enfants, en maternité, néonatologie ou en crèche.</t>
  </si>
  <si>
    <t>Médecin généraliste</t>
  </si>
  <si>
    <t>Assure le suivi global de la santé des patients et les oriente vers des spécialistes.</t>
  </si>
  <si>
    <t>Médecin anesthésiste - réanimateur</t>
  </si>
  <si>
    <t>Gère l'anesthésie lors des opérations et prend en charge les patients en réanimation.</t>
  </si>
  <si>
    <t>Médecin endocrinologue</t>
  </si>
  <si>
    <t>Diagnostique et traite les maladies des glandes endocrines (diabète, thyroïde).</t>
  </si>
  <si>
    <t>Médecin oto-rhino-laryngologiste (ORL)</t>
  </si>
  <si>
    <t>Soigne les affections de l'oreille, du nez et de la gorge.</t>
  </si>
  <si>
    <t>Médecin gynécologue-obstétricien</t>
  </si>
  <si>
    <t>Suit la santé de la femme et accompagne les grossesses jusqu'à l'accouchement.</t>
  </si>
  <si>
    <t>Médecin pédiatre</t>
  </si>
  <si>
    <t>Assure le suivi médical des nourrissons, enfants et adolescents.</t>
  </si>
  <si>
    <t>Médecin urgentiste à l'hôpital</t>
  </si>
  <si>
    <t>Prend en charge les patients en urgence vitale ou fonctionnelle au sein du service des urgences.</t>
  </si>
  <si>
    <t>Coordonne et surveille les essais cliniques pour garantir leur qualité.</t>
  </si>
  <si>
    <t>Coordinatrice en recherche clinique</t>
  </si>
  <si>
    <t>Organise et coordonne les essais cliniques dans les hôpitaux universitaires.</t>
  </si>
  <si>
    <t>Psychiatre hospitalier</t>
  </si>
  <si>
    <t>Diagnostique et traite les troubles psychiatriques sévères en milieu hospitalier.</t>
  </si>
  <si>
    <t>Manipulateur en électroradiologie médicale à l'hôpital</t>
  </si>
  <si>
    <t>Réalise des examens d'imagerie médicale (radio, scanner, IRM) sur les patients.</t>
  </si>
  <si>
    <t>Kinésithérapeute (hôpitaux puis libéral)</t>
  </si>
  <si>
    <t>Rééduque les patients après une blessure, une opération ou une maladie invalidante.</t>
  </si>
  <si>
    <t>Masseur Kinésithérapeute INSEP (sport)</t>
  </si>
  <si>
    <t>Assure le suivi physique et la récupération des sportifs de haut niveau.</t>
  </si>
  <si>
    <t>Masseuse-kinésithérapeute spécialisée en pédiatrie</t>
  </si>
  <si>
    <t>Rééduque les nourrissons et enfants présentant des troubles moteurs, respiratoires ou orthopédiques, en adaptant les techniques à leur âge.</t>
  </si>
  <si>
    <t>Ergothérapeute</t>
  </si>
  <si>
    <t>Aide les personnes handicapées à retrouver leur autonomie dans la vie quotidienne.</t>
  </si>
  <si>
    <t>Diététicien·ne</t>
  </si>
  <si>
    <t>Conseille les patients sur leur alimentation pour prévenir ou traiter des pathologies.</t>
  </si>
  <si>
    <t>Diététicien·ne en milieu scolaire</t>
  </si>
  <si>
    <t>Conçoit des menus équilibrés et sensibilise les élèves à une alimentation saine, tout en garantissant le respect des règles d'hygiène et de sécurité alimentaire en restauration scolaire.</t>
  </si>
  <si>
    <t>Sage femme</t>
  </si>
  <si>
    <t>Assure le suivi de la grossesse, l'accouchement et le suivi post-natal.</t>
  </si>
  <si>
    <t>Préparateur·trice en pharmacie à l'hôpital</t>
  </si>
  <si>
    <t>Prépare les médicaments sous contrôle pharmaceutique pour les services hospitaliers.</t>
  </si>
  <si>
    <t>Aide-soignant·e</t>
  </si>
  <si>
    <t>Accompagne les patients dans les actes de la vie quotidienne et assiste les infirmiers.</t>
  </si>
  <si>
    <t>Chirurgienne-dentiste</t>
  </si>
  <si>
    <t>Diagnostique et traite les maladies des dents et de la bouche.</t>
  </si>
  <si>
    <t>Orthodontiste</t>
  </si>
  <si>
    <t>Corrige les malpositions dentaires à l'aide d'appareils orthodontiques.</t>
  </si>
  <si>
    <t>Assistant·e dentaire</t>
  </si>
  <si>
    <t>Assiste le dentiste lors des soins et gère la stérilisation du matériel.</t>
  </si>
  <si>
    <t>Auxiliaire de puériculture</t>
  </si>
  <si>
    <t>Prend soin des nouveau-nés et jeunes enfants en crèche ou en maternité.</t>
  </si>
  <si>
    <t>Brancardier régulateur</t>
  </si>
  <si>
    <t>Transporte les patients dans les hôpitaux et coordonne les transferts.</t>
  </si>
  <si>
    <t>Assistant de régulation médicale au SAMU</t>
  </si>
  <si>
    <t>Reçoit les appels d'urgence médicale et coordonne les interventions.</t>
  </si>
  <si>
    <t>Secrétaire médicale au laboratoire</t>
  </si>
  <si>
    <t>Gère les dossiers des patients et assure l'accueil dans un laboratoire d'analyses.</t>
  </si>
  <si>
    <t>Standardiste à l'hôpital</t>
  </si>
  <si>
    <t>Gère les communications téléphoniques dans un établissement de santé.</t>
  </si>
  <si>
    <t>Animatrice qualité et gestion des risques</t>
  </si>
  <si>
    <t>Pilote les démarches qualité et la sécurité des soins dans un établissement.</t>
  </si>
  <si>
    <t>Négocie les contrats d'achat de matériels médicaux et médicaments pour un hôpital.</t>
  </si>
  <si>
    <t>Orthophoniste</t>
  </si>
  <si>
    <t>Diagnostique et rééduque les troubles du langage, de la parole, de la voix et de la communication.</t>
  </si>
  <si>
    <t>Audioprothésiste</t>
  </si>
  <si>
    <t>Réalise le bilan auditif, choisit, adapte et règle les appareils auditifs pour améliorer l'audition des patients.</t>
  </si>
  <si>
    <t>Santé - Thérapies complémentaires, accompagnement et bien-être</t>
  </si>
  <si>
    <t>SVT + Physique-Chimie ou SVT + SES</t>
  </si>
  <si>
    <t>Licences bio, STAPS, psychologie</t>
  </si>
  <si>
    <t>Ostéopathe</t>
  </si>
  <si>
    <t>Traite les douleurs et dysfonctions du corps par des manipulations manuelles.</t>
  </si>
  <si>
    <t>Chiropracteur</t>
  </si>
  <si>
    <t>Prend en charge les troubles musculo-squelettiques par des ajustements vertébraux.</t>
  </si>
  <si>
    <t>Psychologue du travail à l'hôpital</t>
  </si>
  <si>
    <t>Accompagne les professionnels de santé face au stress et aux risques psychosociaux.</t>
  </si>
  <si>
    <t>Ergonome</t>
  </si>
  <si>
    <t>Analyse les situations de travail pour adapter les postes, outils et organisations et prévenir les troubles musculo-squelettiques et les risques psychosociaux.</t>
  </si>
  <si>
    <t>Agente hydrothermale</t>
  </si>
  <si>
    <t>Accueille et accompagne les curistes dans leurs soins thermaux (bains, douches, massages sous eau) au sein d'un établissement thermal.</t>
  </si>
  <si>
    <t>Sciences de l'évolution</t>
  </si>
  <si>
    <t>SVT + Physique-Chimie, SVT + Maths ou SVT + HGGSP</t>
  </si>
  <si>
    <t>Licence bio, master évolution</t>
  </si>
  <si>
    <t>SVT+PC | SVT+Maths | SVT+HGGSP</t>
  </si>
  <si>
    <t>Paléobiologiste</t>
  </si>
  <si>
    <t>Étudie les formes de vie anciennes à travers les fossiles pour comprendre l'évolution.</t>
  </si>
  <si>
    <t>Chercheuse en écologie évolutive</t>
  </si>
  <si>
    <t>Utilise la modélisation mathématique pour comprendre comment le vivant répond aux changements environnementaux sur le temps long.</t>
  </si>
  <si>
    <t>SVT + Maths, ou SVT + NSI</t>
  </si>
  <si>
    <t>Étudie la diversité génétique des populations humaines et son histoire évolutive, pour reconstituer les grandes migrations et le passé de notre espèce à partir de l'ADN.</t>
  </si>
  <si>
    <t>Master en génétique/biologie évolutive, puis doctorat et poste de chargé de recherche (CNRS, universités).</t>
  </si>
  <si>
    <t>Paléoanthropologue</t>
  </si>
  <si>
    <t>SVT + HGGSP, ou SVT + Physique-Chimie</t>
  </si>
  <si>
    <t>Étudie l'évolution du genre humain à partir des fossiles, en combinant fouilles de terrain et analyses en laboratoire pour reconstituer l'anatomie et le comportement de nos ancêtres.</t>
  </si>
  <si>
    <t>Master en anthropologie biologique/paléontologie, doctorat, poste de chercheur ou maître de conférences (MNHN, universités).</t>
  </si>
  <si>
    <t>Biodémographe</t>
  </si>
  <si>
    <t>Étudie l'évolution du vieillissement et des cycles de vie (naissance, reproduction, longévité) en combinant démographie, génétique et biologie évolutive.</t>
  </si>
  <si>
    <t>Master en biologie évolutive/démographie, doctorat, poste de chargé de recherche (CNRS, universités).</t>
  </si>
  <si>
    <t>Anthropologue</t>
  </si>
  <si>
    <t>Étudie l'histoire évolutive et la diversité génétique des populations humaines pour comprendre les mécanismes d'adaptation biologique aux environnements.</t>
  </si>
  <si>
    <t>Master en anthropologie biologique/génétique des populations, doctorat, poste de chargé de recherche (CNRS, universités).</t>
  </si>
  <si>
    <t>Ethnoécologue</t>
  </si>
  <si>
    <t>Étudie les relations entre les sociétés humaines et leur environnement : perception, classification et usages des plantes, animaux et paysages (ethnoécologie, anthropologie de l'environnement).</t>
  </si>
  <si>
    <t>Master en écologie/sciences sociales de l'environnement, doctorat, poste de maître de conférences (MNHN, universités).</t>
  </si>
  <si>
    <t>Préhistorien</t>
  </si>
  <si>
    <t>Étudie les comportements techniques des hommes préhistoriques (outils en pierre) à travers les fouilles archéologiques, pour retracer l'évolution culturelle et technique de la lignée humaine.</t>
  </si>
  <si>
    <t>Master en préhistoire/archéologie, doctorat, poste de chercheur (CNRS, MNHN, universités).</t>
  </si>
  <si>
    <t>SVT + Physique-Chimie (STAPS-santé), SVT + Maths ou SVT + HGGSP (sport &amp; territoire)</t>
  </si>
  <si>
    <t>Préparateur physique</t>
  </si>
  <si>
    <t>Conçoit et supervise les entraînements physiques des sportifs de haut niveau.</t>
  </si>
  <si>
    <t>Accompagne les sportifs dans la gestion du stress et l'optimisation des performances.</t>
  </si>
  <si>
    <t>Masseur Kinésithérapeute INSEP</t>
  </si>
  <si>
    <t>Assure le suivi physique et la récupération des sportifs de haut niveau à l'INSEP.</t>
  </si>
  <si>
    <t>Éducateur territorial APS (ETAPS)</t>
  </si>
  <si>
    <t>Anime des activités sportives dans une collectivité territoriale.</t>
  </si>
  <si>
    <t>Éducatrice socio-sportive</t>
  </si>
  <si>
    <t>Utilise le sport comme outil d'insertion sociale auprès de publics en difficulté.</t>
  </si>
  <si>
    <t>Agent de développement</t>
  </si>
  <si>
    <t>Développe la pratique sportive sur un territoire en animant un réseau de clubs.</t>
  </si>
  <si>
    <t>Enseignant en Activité Physique Adaptée</t>
  </si>
  <si>
    <t>Conçoit des programmes sportifs pour des personnes en situation de handicap.</t>
  </si>
  <si>
    <t>Conseiller Technique de Ligue Triathlon</t>
  </si>
  <si>
    <t>Forme les entraîneurs et encadre le développement sportif d'une discipline.</t>
  </si>
  <si>
    <t>Conseillère technique national</t>
  </si>
  <si>
    <t>Définit et coordonne la politique sportive nationale d'une fédération.</t>
  </si>
  <si>
    <t>Directeur de Ligue Triathlon</t>
  </si>
  <si>
    <t>Gère administrativement et sportivement une ligue régionale de triathlon.</t>
  </si>
  <si>
    <t>Directrice sportive/Directeur sportif</t>
  </si>
  <si>
    <t>Dirige la stratégie sportive d'un club ou d'une fédération.</t>
  </si>
  <si>
    <t>Responsable de salle de sport</t>
  </si>
  <si>
    <t>Gère une salle de fitness : personnel, programmes et clientèle.</t>
  </si>
  <si>
    <t>Organisateur d'événement sportif</t>
  </si>
  <si>
    <t>Planifie et coordonne les compétitions sportives de l'inscription à la remise des prix.</t>
  </si>
  <si>
    <t>Entraîneure Ski Nautique</t>
  </si>
  <si>
    <t>Entraîne des sportifs en ski nautique en gérant leur progression technique.</t>
  </si>
  <si>
    <t>Ingénieur Recherche et Développement en biomécanique chez Decathlon</t>
  </si>
  <si>
    <t>Conçoit des équipements sportifs en analysant les mouvements du corps humain.</t>
  </si>
  <si>
    <t>Assistant moniteur sportif dans l'armée de terre</t>
  </si>
  <si>
    <t>Encadre et anime les activités sportives des militaires au sein d'un régiment, en appui du moniteur titulaire.</t>
  </si>
  <si>
    <t>Footballeuse professionnelle</t>
  </si>
  <si>
    <t>Pratique le football à haut niveau au sein d'un club professionnel : entraînements, compétitions et gestion de sa carrière sportive.</t>
  </si>
  <si>
    <t>Monitrice de VTT</t>
  </si>
  <si>
    <t>Encadre et forme des groupes à la pratique du VTT, en veillant à la sécurité et à la progression technique des participants.</t>
  </si>
  <si>
    <t>Monitrice de ski nordique</t>
  </si>
  <si>
    <t>Enseigne les techniques du ski de fond et encadre des groupes en milieu montagnard enneigé.</t>
  </si>
  <si>
    <t>Accompagnatrice en montagne</t>
  </si>
  <si>
    <t>Encadre des randonnées et sorties en milieu montagnard (été comme hiver, hors terrain d'aventure et de haute montagne), en assurant la sécurité et la découverte du milieu naturel.</t>
  </si>
  <si>
    <t>Moniteur de canyon</t>
  </si>
  <si>
    <t>Encadre des descentes de canyon (marche, nage, sauts, rappel) en veillant à la sécurité des pratiquants en milieu aquatique naturel.</t>
  </si>
  <si>
    <t>Monitrice d'escalade</t>
  </si>
  <si>
    <t>Encadre et forme des groupes à la pratique de l'escalade (falaise ou salle), en assurant la sécurité et la progression technique des grimpeurs.</t>
  </si>
  <si>
    <t>Moniteur de parapente</t>
  </si>
  <si>
    <t>Enseigne les techniques de vol en parapente et encadre les baptêmes et stages, en veillant à la sécurité des pratiquants.</t>
  </si>
  <si>
    <t>Monitrice d'équitation</t>
  </si>
  <si>
    <t>Enseigne l'équitation et encadre les cavaliers dans un centre équestre, du débutant à la compétition.</t>
  </si>
  <si>
    <t>Accompagnateur de tourisme équestre</t>
  </si>
  <si>
    <t>Organise et encadre des randonnées à cheval en pleine nature, pour découvrir un territoire tout en veillant à la sécurité des cavaliers et au bien-être des chevaux.</t>
  </si>
  <si>
    <t>Musheuse</t>
  </si>
  <si>
    <t>Dirige un attelage de chiens de traineau et encadre des randonnées ou compétitions en milieu enneigé, en prenant soin de sa meute.</t>
  </si>
  <si>
    <t>Apiculture &amp; Entomologie appliquée</t>
  </si>
  <si>
    <t>Licence bio, masters entomologie</t>
  </si>
  <si>
    <t>Entomologiste</t>
  </si>
  <si>
    <t>Étudie les insectes : biologie, comportement et rôle écologique, au service de la recherche et de l'agriculture.</t>
  </si>
  <si>
    <t>Préposé entomologique</t>
  </si>
  <si>
    <t>Élève, soigne et présente les collections d'insectes vivants d'un insectarium au public.</t>
  </si>
  <si>
    <t>Technicienne en entomologie à l'Insectarium de Montréal</t>
  </si>
  <si>
    <t>Assure l'élevage, l'entretien et la présentation des collections d'insectes vivants de l'Insectarium.</t>
  </si>
  <si>
    <t>Coordonnatrice d'activités en loisirs scientifiques à l'Insectarium de Montréal</t>
  </si>
  <si>
    <t>Organise et coordonne des ateliers et activités scientifiques ludiques autour des collections d'insectes de l'Insectarium.</t>
  </si>
  <si>
    <t>Mène des recherches en écophysiologie des poissons et conseille sur des projets d'aquaculture durable et de conservation d'espèces à statut particulier (pêchées, domestiques ou menacées).</t>
  </si>
  <si>
    <t>Licences bio marine</t>
  </si>
  <si>
    <t>Biomatériaux &amp; Implants</t>
  </si>
  <si>
    <t>Écoles d'ingénieurs biomédicaux</t>
  </si>
  <si>
    <t>Enseignement &amp; Recherche en SVT</t>
  </si>
  <si>
    <t>Licence bio, master MEEF SVT</t>
  </si>
  <si>
    <t>Professeure de SVT</t>
  </si>
  <si>
    <t>Enseigne les Sciences de la Vie et de la Terre au collège ou au lycée : cours théoriques, travaux pratiques et suivi de l'orientation des élèves.</t>
  </si>
  <si>
    <t>Génie écologique &amp; Restauration</t>
  </si>
  <si>
    <t>Licences écologie</t>
  </si>
  <si>
    <t>Effectue des travaux de génie écologique (entretien, restauration des milieux) et des suivis naturalistes de terrain pour préserver la biodiversité.</t>
  </si>
  <si>
    <t>Docteure en pédologie, étudie les interactions sol-plantes-microorganismes et la biodégradation des polluants dans les sols pour la restauration des milieux, et dirige OTELo (Observatoire Terre et Environnement de Lorraine).</t>
  </si>
  <si>
    <t>Biogéochimiste</t>
  </si>
  <si>
    <t>Étudie les interactions entre les racines des plantes et les organismes du sol (champignons mycorhiziens, nématodes, bactéries) : symbioses nutritives, cycles de l'azote et du phosphore, pour mieux comprendre et préserver la vie des sols en agroécologie (Inra).</t>
  </si>
  <si>
    <t>Ingénieur de recherche en coordination du réseau de mesure de la qualité des sols</t>
  </si>
  <si>
    <t>Coordonne le Réseau de Mesure de la Qualité des Sols (RMQS, Inrae) : pilote l'échantillonnage de 2200 sites sur tout le territoire français (tous les 15 ans) pour suivre l'état des sols dans la durée et fournir des données de référence aux politiques publiques (contaminants, carbone, biodiversité).</t>
  </si>
  <si>
    <t>Jardins &amp; Espaces verts</t>
  </si>
  <si>
    <t>Licences pro paysage</t>
  </si>
  <si>
    <t>Horticultrice au Jardin nourricier du Jardin botanique de Montréal</t>
  </si>
  <si>
    <t>Cultive et entretient le jardin nourricier (potager) du Jardin botanique de Montréal, en lien avec le public et la pédagogie horticole.</t>
  </si>
  <si>
    <t>Horticulteur au Jardin japonais du Jardin botanique de Montréal</t>
  </si>
  <si>
    <t>Cultive et entretient les collections végétales et l'aménagement paysager du Jardin japonais du Jardin botanique de Montréal.</t>
  </si>
  <si>
    <t>Horticultrice responsable en phytoprotection</t>
  </si>
  <si>
    <t>Assure la protection phytosanitaire des collections végétales dans les serres du Jardin botanique (surveillance, prévention et lutte contre les ravageurs et maladies).</t>
  </si>
  <si>
    <t>Paysagiste Concepteur</t>
  </si>
  <si>
    <t>Conçoit et dessine l'aménagement d'espaces verts et de jardins, en intégrant contraintes du site, végétaux et attentes des usagers.</t>
  </si>
  <si>
    <t>Fleuriste</t>
  </si>
  <si>
    <t>Compose et vend des bouquets et compositions florales, en conseillant la clientèle et en assurant l'entretien des végétaux en boutique.</t>
  </si>
  <si>
    <t>Journalisme &amp; Médiation scientifique</t>
  </si>
  <si>
    <t>Écoles de journalisme ; SVT pour la médiation scientifique</t>
  </si>
  <si>
    <t>Animatrice scientifique au Planétarium</t>
  </si>
  <si>
    <t>Anime des ateliers et présente les phénomènes astronomiques au grand public au sein d'un planétarium.</t>
  </si>
  <si>
    <t>Conçoit et coordonne des activités pédagogiques et ludiques de médiation scientifique auprès du public.</t>
  </si>
  <si>
    <t>Communicateur scientifique au Planétarium</t>
  </si>
  <si>
    <t>Anime en direct les spectacles immersifs sous dôme du Planétarium et participe à leur conception (co-scénarisation, tournage et prises de vues à 360°).</t>
  </si>
  <si>
    <t>Chargée de communication en développement durable</t>
  </si>
  <si>
    <t>Accompagne les chargés de mission d'une association environnementale dans leurs projets : conseil sur le message et la cible, organisation d'événements, animation du site internet et des réseaux sociaux.</t>
  </si>
  <si>
    <t>Directeur d'association environnementale</t>
  </si>
  <si>
    <t>Conçoit et pilote des projets d'une association engagée sur des enjeux environnementaux, à l'écoute des orientations politiques comme de son équipe pour proposer des actions pertinentes.</t>
  </si>
  <si>
    <t>Médiateur scientifique et numérique</t>
  </si>
  <si>
    <t>Crée des contenus numériques (vidéos, réseaux sociaux, expositions interactives) pour rendre les sciences accessibles et vulgariser des sujets scientifiques auprès du grand public.</t>
  </si>
  <si>
    <t>Rédacteur en chef de magazine scientifique</t>
  </si>
  <si>
    <t>SVT + HLP, SVT + LLCER, ou SVT + HGGSP</t>
  </si>
  <si>
    <t>Donne le ton et définit les contenus d'un magazine scientifique pour adolescents, anime une équipe de journalistes et rend la science accessible à un jeune public.</t>
  </si>
  <si>
    <t>École de journalisme ou master de journalisme scientifique, souvent après une formation scientifique initiale.</t>
  </si>
  <si>
    <t>SVT+HLP | SVT+LLCER | SVT+HGGSP</t>
  </si>
  <si>
    <t>Vidéaste et journaliste scientifique (vulgarisation)</t>
  </si>
  <si>
    <t>SVT + HLP, SVT + Physique-Chimie, ou SVT + HGGSP</t>
  </si>
  <si>
    <t>Vulgarise les sciences de la Terre et du vivant auprès du grand public sur YouTube, en alliant rigueur scientifique et humour. Écrit, tourne et monte ses vidéos.</t>
  </si>
  <si>
    <t>Licence en sciences (géologie, biologie) puis master de journalisme scientifique ; le goût de l'écriture et de la vidéo est central.</t>
  </si>
  <si>
    <t>SVT+HLP | SVT+PC | SVT+HGGSP</t>
  </si>
  <si>
    <t>Muséographie &amp; Muséologie scientifique</t>
  </si>
  <si>
    <t>SVT + HGGSP, SVT + Arts ou SVT + HLP</t>
  </si>
  <si>
    <t>Muséums, écoles du patrimoine</t>
  </si>
  <si>
    <t>SVT+HGGSP | SVT+Arts | SVT+HLP</t>
  </si>
  <si>
    <t>Anime des ateliers et présente les phénomènes astronomiques au grand public au sein d'un planétarium, en animant régulièrement les expositions de muséographie.</t>
  </si>
  <si>
    <t>Technicien.ne de collections</t>
  </si>
  <si>
    <t>Gère et conserve des collections scientifiques (inventaire, rangement, numérisation) et accueille les chercheurs et étudiants venus étudier les spécimens, au sein d'un muséum.</t>
  </si>
  <si>
    <t>Mycologie &amp; Champignons</t>
  </si>
  <si>
    <t>Licence bio, master mycologie</t>
  </si>
  <si>
    <t>Mycicultrice en bio</t>
  </si>
  <si>
    <t>Cultive des champignons biologiques (shiitakes, pleurotes) en circuit court, de la production à la transformation et à la vente directe.</t>
  </si>
  <si>
    <t>Étudie les champignons et oomycètes responsables de maladies des plantes (cultures, forêts, végétaux ornementaux) : détection, identification et épidémiosurveillance au sein d'un laboratoire de référence national et européen (ANSES).</t>
  </si>
  <si>
    <t>Toxicologie &amp; Sécurité chimique</t>
  </si>
  <si>
    <t>Licences chimie ou bio, masters toxicologie</t>
  </si>
  <si>
    <t>Étudie l'impact des polluants (microplastiques, nanoplastiques) sur les organismes aquatiques et coordonne des études scientifiques et techniques sur les pollutions du milieu aquatique, au Cedre.</t>
  </si>
  <si>
    <t>Codirecteur d'évaluation des dangers chimiques (partenariat européen PARC)</t>
  </si>
  <si>
    <t>Codirige une tâche européenne d'évaluation des dangers chimiques dans les aliments (partenariat PARC, une centaine de partenaires dans 28 pays) : analyse de substances toxicologiquement peu documentées et production d'avis scientifiques pour éclairer les décideurs.</t>
  </si>
  <si>
    <t>Adjointe au chef d'unité d'évaluation des risques liés aux aliments, spécialiste des toxines naturelles</t>
  </si>
  <si>
    <t>Évalue les risques liés aux contaminants des aliments (métaux, biotoxines marines, mycotoxines, cyanotoxines) et coordonne l'expertise et la recherche sur ces dangers émergents pour protéger la santé des consommateurs, au niveau national et international (OMS, FAO).</t>
  </si>
  <si>
    <t>Évaluatrice scientifique et technique</t>
  </si>
  <si>
    <t>Apporte un conseil scientifique sur la réglementation des substances biocides : analyse leur comportement dans l'environnement, simule leur usage et évalue les risques pour la santé humaine et l'environnement, dans le cadre de la réglementation européenne (Anses).</t>
  </si>
  <si>
    <t>Vétérinaire &amp; Santé animale</t>
  </si>
  <si>
    <t>Prépa BCPST → ENV (concours sélectif)</t>
  </si>
  <si>
    <t>Vétérinaire au Biodôme de Montréal</t>
  </si>
  <si>
    <t>Assure le suivi médical et les soins vétérinaires des poissons et animaux sauvages des différents écosystèmes du Biodôme de Montréal (ex. : examen d'un esturgeon noir).</t>
  </si>
  <si>
    <t>Assistante vétérinaire</t>
  </si>
  <si>
    <t>Assiste le vétérinaire lors des consultations et interventions, prépare le matériel et assure le suivi des animaux avant et après les soins.</t>
  </si>
  <si>
    <t>Vétérinaire salarié·e en clinique</t>
  </si>
  <si>
    <t>Soigne, diagnostique et opère les animaux au sein d'une clinique vétérinaire, en tant que salarié·e de la structure.</t>
  </si>
  <si>
    <t>Éducateur de chiens guides d'aveugles</t>
  </si>
  <si>
    <t>Forme et remet des chiens guides à des personnes déficientes visuelles, après un parcours de socialisation en famille d'accueil puis d'éducation en centre (formation fédérale de 4 ans, après les étapes d'animalier puis de moniteur).</t>
  </si>
  <si>
    <t>Directrice de recherche en santé des volailles et lapins</t>
  </si>
  <si>
    <t>Dirige une unité de recherche en virologie/immunologie/parasitologie aviaire et cunicole (ANSES) : oriente les stratégies scientifiques, encadre des doctorants et coordonne le laboratoire national de référence sur l'influenza aviaire.</t>
  </si>
  <si>
    <t>Référent scientifique en efficacité des médicaments vétérinaires</t>
  </si>
  <si>
    <t>Évalue l'efficacité des médicaments vétérinaires pour leur autorisation de mise sur le marché (ANMV/ANSES) et participe à l'harmonisation réglementaire internationale au sein de comités d'experts européens et mondiaux.</t>
  </si>
  <si>
    <t>Technicien de laboratoire en santé animale</t>
  </si>
  <si>
    <t>Réalise des analyses biologiques, biochimiques ou physico-chimiques sur les maladies infectieuses des animaux sauvages, d'élevage et domestiques, dans le cadre de missions de référence, de recherche et de formation (ANSES).</t>
  </si>
  <si>
    <t>Chargée de projets scientifiques et techniques</t>
  </si>
  <si>
    <t>Rédige et valide des méthodes d'analyse, pilote la surveillance de l'antibiorésistance des bactéries isolées chez l'animal et propose des axes de recherche, au sein d'un laboratoire national de référence (Anses) en lien avec les autorités françaises et européennes (DGAL, UE, EFSA).</t>
  </si>
  <si>
    <t>Vétérinaire épidémiologiste</t>
  </si>
  <si>
    <t>Étudie la dynamique de transmission des maladies animales infectieuses (ex. influenza aviaire) par phylodynamie : analyse le matériel génétique des virus pour retracer leur évolution et leurs voies de transmission, afin d'orienter les stratégies de surveillance et de contrôle (missions de terrain en France et à l'international, ex. Cambodge).</t>
  </si>
  <si>
    <t>Assure les soins quotidiens des animaux (alimentation, hygiène, surveillance sanitaire) en parc zoologique ou aquarium, en lien avec l'équipe vétérinaire pour le suivi médical.</t>
  </si>
  <si>
    <t>Énergie et transition écologique</t>
  </si>
  <si>
    <t>SVT + Maths + HGGSP ou SVT + Maths + Physique-Chimie</t>
  </si>
  <si>
    <t>École d'ingénieur ou formation environnement (bureau d'études, énergies renouvelables)</t>
  </si>
  <si>
    <t>SVT+Maths+HGGSP | SVT+Maths+PC</t>
  </si>
  <si>
    <t>Responsable Service Ingénierie Électrique</t>
  </si>
  <si>
    <t>SVT + Physique-Chimie + Maths</t>
  </si>
  <si>
    <t>Utile en 1ère ; en Tle, garder Physique-Chimie + Maths (SVT non conservée)</t>
  </si>
  <si>
    <t>Pilote la faisabilité électrique de projets éoliens : identifie et lève les contraintes de raccordement au réseau, conçoit électriquement les centrales, définit les cahiers des charges avec les ingénieurs projet et supervise les essais jusqu'à la mise en service, à la tête d'une équipe (Valorem).</t>
  </si>
  <si>
    <t>SVT+PC+Maths</t>
  </si>
  <si>
    <t>Responsable Service Environnement</t>
  </si>
  <si>
    <t>Apporte conseil et expertise sur les enjeux environnementaux et paysagers des projets d'énergies renouvelables (développement, construction, exploitation) et encadre une équipe dédiée (Valorem).</t>
  </si>
  <si>
    <t>Chargée d'Exploitation Éolien</t>
  </si>
  <si>
    <t>Assure l'exploitation d'un parc d'éoliennes : surveille à distance la production et la sécurité des installations, diagnostique les dysfonctionnements, organise les inspections de maintenance et fait le lien avec les riverains et les institutions locales (Valorem).</t>
  </si>
  <si>
    <t>Technicien de Maintenance EMR</t>
  </si>
  <si>
    <t>Assure la maintenance mécanique, hydraulique et électrique des installations d'énergies marines renouvelables (offshore) : diagnostique et répare les pannes en autonomie, sur des missions en France et à l'international.</t>
  </si>
  <si>
    <t>Niveau BTS ou BUT (BTS Maintenance des systèmes, BTS Électrotechnique, BUT Génie industriel et maintenance, ou équivalent) requis in fine pour ce poste.</t>
  </si>
  <si>
    <t>Ingénieur Construction</t>
  </si>
  <si>
    <t>Assure la maîtrise d'œuvre de chantiers de parcs éoliens : encadre les superviseurs terrain, gère le budget, la coordination des entreprises et la planification, et veille au respect de la réglementation, partout en France (Valorem).</t>
  </si>
  <si>
    <t>Chef de Projet Développement</t>
  </si>
  <si>
    <t>Pilote le développement de projets éoliens ou photovoltaïques de bout en bout : recherche de sites, études de faisabilité et de rentabilité, coordination avec les collectivités, riverains et bureaux d'études, et dépôt des demandes d'autorisation (Valorem).</t>
  </si>
  <si>
    <t>École de commerce (commerce international)</t>
  </si>
  <si>
    <t>Technicien de surveillance de la qualité de l'air</t>
  </si>
  <si>
    <t>SVT + Physique-Chimie, ou SVT + NSI</t>
  </si>
  <si>
    <t>Installe et entretient les capteurs de mesure de la pollution atmosphérique lors de campagnes de surveillance, puis récupère et prépare les données pour les équipes de modélisation.</t>
  </si>
  <si>
    <t>Bac+2 (BTS Systèmes numériques, BTS Métiers de la mesure) ; accessible après un bac général ou technologique.</t>
  </si>
  <si>
    <t>Gestion de l'eau</t>
  </si>
  <si>
    <t>BTS métiers de l'eau (GEMEAU), BUT génie biologique, licences pro</t>
  </si>
  <si>
    <t>Chef de groupe traitement de l'eau potable</t>
  </si>
  <si>
    <t>Dirige une équipe d'exploitation d'usines d'eau potable : garantit la conformité sanitaire de l'eau produite et distribuée, gère les budgets et les travaux d'entretien des installations.</t>
  </si>
  <si>
    <t>Bac+2/3 filière eau/environnement, avec évolution possible vers l'encadrement.</t>
  </si>
  <si>
    <t>Technicienne en usine de traitement d'eaux usées</t>
  </si>
  <si>
    <t>Assure le traitement des eaux usées domestiques et industrielles pour rendre l'eau conforme avant rejet dans le milieu naturel, en surveillant les procédés d'épuration et la valorisation des sous-produits (boues, biogaz).</t>
  </si>
  <si>
    <t>Bac+2/3 (BTS GEMEAU métiers de l'eau, BUT génie biologique, licence pro traitement des eaux) ; accessible après un bac général.</t>
  </si>
  <si>
    <t>Déchets &amp; économie circulaire</t>
  </si>
  <si>
    <t>Bac à Bac+5 selon le poste (Bac pro, BTS, école d'ingénieurs, master QHSE)</t>
  </si>
  <si>
    <t>Conducteur de ligne en usine de valorisation des déchets</t>
  </si>
  <si>
    <t>SVT + Physique-Chimie, SVT + NSI, ou SVT + Maths</t>
  </si>
  <si>
    <t>Pilote les lignes de tri et de valorisation des déchets dans une usine, en veillant au bon fonctionnement des équipements et au respect des consignes environnementales.</t>
  </si>
  <si>
    <t>Niveau bac à Bac+2 (Bac pro, BTS) ; accessible avec évolution possible depuis un poste d'opérateur.</t>
  </si>
  <si>
    <t>SVT+PC | SVT+NSI | SVT+Maths</t>
  </si>
  <si>
    <t>Responsable HSQE (hygiène, sécurité, qualité, environnement)</t>
  </si>
  <si>
    <t>SVT + Physique-Chimie, ou SVT + SES</t>
  </si>
  <si>
    <t>DGEMC pertinente (cadre réglementaire)</t>
  </si>
  <si>
    <t>Met en place et fait respecter les règles d'hygiène, de sécurité, de qualité et d'environnement au sein d'un site de gestion des déchets ou d'une entreprise industrielle.</t>
  </si>
  <si>
    <t>Bac+3 à Bac+5 en QHSE / management environnemental (école d'ingénieurs, master, ou IUT + licence pro).</t>
  </si>
  <si>
    <t>MC = Maths complémentaires : option de Terminale (3 h) réservée aux élèves ayant suivi la spécialité Maths en 1ère et ne la conservant pas en Tle — inutile si la spé Maths est gardée (voir alors « Maths expertes »). DGEMC = Droit et Grands Enjeux du Monde Contemporain (option de Terminale). Tous les métiers de ce fichier sont accessibles avec SVT en spécialité de 1ère.</t>
  </si>
  <si>
    <t>📋  SOMMAIRE — VIDÉOS D'ORIENTATION SVT</t>
  </si>
  <si>
    <t>N°</t>
  </si>
  <si>
    <t>Catégorie</t>
  </si>
  <si>
    <t>Accéder</t>
  </si>
  <si>
    <t>→ Voir les métiers</t>
  </si>
  <si>
    <t>📘  MODE D'EMPLOI — VIDÉOS D'ORIENTATION SVT</t>
  </si>
  <si>
    <t>Ressource pédagogique créée par Lucas Bollori, professeur de SVT  •  Usage libre pour l'enseignement non commercial</t>
  </si>
  <si>
    <t>🎯  Présentation de la ressource</t>
  </si>
  <si>
    <t>Objectif</t>
  </si>
  <si>
    <t>Aider les élèves de lycée général à découvrir des métiers accessibles avec la spécialité SVT (Sciences de la Vie et de la Terre), en s'appuyant sur des témoignages vidéo courts et concrets.</t>
  </si>
  <si>
    <t>Public cible</t>
  </si>
  <si>
    <t>Élèves de 2nde, 1ère et Terminale de lycée général
Enseignants de SVT et conseillers d'orientation</t>
  </si>
  <si>
    <t>Principe clé</t>
  </si>
  <si>
    <t>Tous les métiers présentés dans ce fichier sont accessibles avec SVT en spécialité de 1ère. La colonne 'Spécialités recommandées' précise les combinaisons optimales selon le métier visé.</t>
  </si>
  <si>
    <t>📂  Structure du fichier</t>
  </si>
  <si>
    <t>📋  Sommaire</t>
  </si>
  <si>
    <t>Point d'entrée principal. Liste les 51 catégories de métiers.
→ Cliquer sur une catégorie ou sur '→ Voir les métiers' pour y accéder directement.
Les catégories en gris (🔲) sont encore à compléter.</t>
  </si>
  <si>
    <t>📘  Mode d'emploi</t>
  </si>
  <si>
    <t>Cette feuille. À lire en premier pour comprendre le fonctionnement du fichier.</t>
  </si>
  <si>
    <t>🎬  Présentations métiers</t>
  </si>
  <si>
    <t>Feuille principale. Contient l'ensemble des métiers classés par catégorie, avec leurs vidéos associées.
→ Utiliser le lien '← Retour au Sommaire' en haut à gauche pour revenir au Sommaire.</t>
  </si>
  <si>
    <t>🔍  Comment lire une fiche métier</t>
  </si>
  <si>
    <t>Colonne  Métier</t>
  </si>
  <si>
    <t>Nom du professionnel ou de la fonction exercée dans la vidéo.</t>
  </si>
  <si>
    <t>Colonne  ▶ Vidéo 1</t>
  </si>
  <si>
    <t>Lien vers la première vidéo de témoignage. Cliquer pour ouvrir dans le navigateur.
Durée cible : moins de 5 minutes, en français.</t>
  </si>
  <si>
    <t>Colonne  ▶ Vidéo 2</t>
  </si>
  <si>
    <t>Lien vers une seconde vidéo complémentaire, quand elle existe.</t>
  </si>
  <si>
    <t>Colonne  Spécialités</t>
  </si>
  <si>
    <t>Spécialités de 1ère et Terminale recommandées pour les formations menant à ce métier.
→ Lecture : « SVT + X ou SVT + Y » = deux combinaisons possibles en Terminale.
Pour les métiers via Sciences Po/IEP ou écoles de commerce, deux voies sont indiquées. La colonne « Études envisageables » précise les poursuites d'études.</t>
  </si>
  <si>
    <t>📚  Note sur les spécialités (rentrée 2026)</t>
  </si>
  <si>
    <t>Maths complémentaires</t>
  </si>
  <si>
    <t>Option de Terminale (3 h/semaine) réservée aux élèves ayant suivi la spécialité Maths en 1ère et qui ne la conservent PAS en Terminale. Elle conserve un socle mathématique sans la spécialité complète. ⚠️ Si la spécialité Maths est gardée en Tle, les Maths complémentaires sont inutiles (c'est alors l'option « Maths expertes » qui approfondit). Cadre Éduscol/Parcoursup stable en 2026.</t>
  </si>
  <si>
    <t>Spécialités disponibles</t>
  </si>
  <si>
    <t>Ce tableau s'adresse aux élèves de lycée général. Les spécialités indiquées sont toutes disponibles dans des lycées généraux (SVT, Physique-Chimie, Maths, HGGSP, SES, NSI, LLCER, HLP, Arts).</t>
  </si>
  <si>
    <t>🏫  Suggestions d'utilisation en classe</t>
  </si>
  <si>
    <t>En autonomie</t>
  </si>
  <si>
    <t>Mettre le fichier à disposition des élèves via l'ENT, Teams ou Google Classroom. Ils naviguent librement selon leurs centres d'intérêt.</t>
  </si>
  <si>
    <t>En séance d'orientation</t>
  </si>
  <si>
    <t>Projeter le Sommaire, sélectionner une catégorie avec les élèves, visionner 1 ou 2 vidéos et engager la discussion sur les parcours de formation.</t>
  </si>
  <si>
    <t>En lien avec les choix de spécialités</t>
  </si>
  <si>
    <t>Utiliser la colonne 'Spécialités recommandées' lors des périodes de choix (fin de 2nde, fin de 1ère) pour aider les élèves à connecter leurs aspirations professionnelles à leurs choix de spécialités.</t>
  </si>
  <si>
    <t>⚖️  Droits d'utilisation et licence</t>
  </si>
  <si>
    <t>Auteur</t>
  </si>
  <si>
    <t>Lucas Bollori, professeur de SVT</t>
  </si>
  <si>
    <t>Licence</t>
  </si>
  <si>
    <t>Creative Commons CC BY-NC-SA 4.0
→ Vous êtes libre de partager et d'adapter ce fichier
→ À condition de citer l'auteur (BY), de ne pas en faire un usage commercial (NC)
  et de partager vos modifications sous la même licence (SA)</t>
  </si>
  <si>
    <t>Vidéos YouTube</t>
  </si>
  <si>
    <t>Les vidéos liées dans ce fichier sont la propriété de leurs auteurs respectifs. Ce fichier ne fait que référencer des contenus publiquement accessibles sur YouTube. En cas de lien mort, merci de le signaler à l'auteur.</t>
  </si>
  <si>
    <t>Suggestions / corrections</t>
  </si>
  <si>
    <t>Ce fichier est en cours de développement. Toute suggestion de vidéo, correction ou retour d'usage est la bienvenue.</t>
  </si>
  <si>
    <t>🔲  Catégories en cours de complétion</t>
  </si>
  <si>
    <t>Les 14 catégories suivantes sont structurées mais ne contiennent pas encore de vidéos. Elles seront complétées dans les prochaines versions du fichier.</t>
  </si>
  <si>
    <t>🔲  Apiculture &amp; Entomologie appliquée   •   Aquaculture &amp; Pêche durable</t>
  </si>
  <si>
    <t>🔲  Biomatériaux &amp; Implants   •   Biomimétisme &amp; Éco-conception</t>
  </si>
  <si>
    <t>🔲  Enseignement &amp; Recherche en SVT   •   Génie écologique &amp; Restauration</t>
  </si>
  <si>
    <t>🔲  Jardins &amp; Espaces verts   •   Journalisme &amp; Médiation scientifique</t>
  </si>
  <si>
    <t>🔲  Muséographie   •   Muséologie scientifique</t>
  </si>
  <si>
    <t>🔲  Mycologie &amp; Champignons   •   One Health / Santé globale</t>
  </si>
  <si>
    <t>🔲  Toxicologie &amp; Sécurité chimique   •   Vétérinaire &amp; Santé animale</t>
  </si>
  <si>
    <t>Version en cours  •  Lucas Bollori  •  Licence CC BY-NC-SA 4.0  •  Usage pédagogique libre</t>
  </si>
  <si>
    <t>Grand domaine</t>
  </si>
  <si>
    <t>Sciences du vivant (biologie &amp; génétique)</t>
  </si>
  <si>
    <t>Agriculture, alimentation &amp; filières</t>
  </si>
  <si>
    <t>Environnement, biodiversité &amp; écologie</t>
  </si>
  <si>
    <t>Sciences de la Terre, mer &amp; univers</t>
  </si>
  <si>
    <t>Santé humaine &amp; médecine</t>
  </si>
  <si>
    <t>Santé animale &amp; vétérinaire</t>
  </si>
  <si>
    <t>Données, numérique &amp; investigation</t>
  </si>
  <si>
    <t>Société, droit &amp; entreprise</t>
  </si>
  <si>
    <t>Médiation, culture scientifique &amp; enseignement</t>
  </si>
  <si>
    <t>Sport &amp; activité physique</t>
  </si>
  <si>
    <t>Œnologie</t>
  </si>
  <si>
    <t>Voie université : SVT + Physique-Chimie</t>
  </si>
  <si>
    <t>Du BTSA Viticulture-Œnologie (Bac+2) au DNO, Diplôme national d'œnologue (Bac+5).</t>
  </si>
  <si>
    <t>Œnologue</t>
  </si>
  <si>
    <t>Assure la vinification et le suivi qualité du vin, de la vendange à la mise en bouteille, en optimisant ses qualités organoleptiques.</t>
  </si>
  <si>
    <t>Maître de chai</t>
  </si>
  <si>
    <t>Supervise la vinification, l'élevage et l'assemblage des vins en cave jusqu'à leur mise en bouteille, en garantissant leur qualité.</t>
  </si>
  <si>
    <t>Agent de chai</t>
  </si>
  <si>
    <t>Assure les travaux de cave (soutirage, nettoyage des cuves et de la cave, mise en bouteille) sous la responsabilité du maître de chai.</t>
  </si>
  <si>
    <t>Accessible avec un BTSA Viticulture-œnologie (Bac+2/3), parfois complété par un Diplôme National d'Œnologue (Bac+5) dans les grandes structures ; poste aussi accessible par évolution interne après plusieurs années comme agent de chai (Bac pro).</t>
  </si>
  <si>
    <t>Accessible dès le CAPA Vigne et vin (Bac/infra), avec évolution possible via le Bac Pro Conduite et gestion de l'entreprise vitivinicole ou le BTSA Viticulture-œnologie (Bac+2/3).</t>
  </si>
  <si>
    <t>SVT+*</t>
  </si>
  <si>
    <t>Ouvrière viticole</t>
  </si>
  <si>
    <t>Effectue les travaux de la vigne (taille, palissage, traitements, vendanges) pour entretenir et développer le vignoble.</t>
  </si>
  <si>
    <t>Technicienne viticole</t>
  </si>
  <si>
    <t>Assure le suivi technique de la vigne (analyses de sol, surveillance sanitaire, planification des travaux et des vendanges) en appui du chef de culture ou de l'exploitant.</t>
  </si>
  <si>
    <t>Responsable Qualité &amp; Vignoble</t>
  </si>
  <si>
    <t>Pilote la démarche qualité du domaine et supervise la conduite du vignoble, du suivi agronomique à la récolte.</t>
  </si>
  <si>
    <t>Commercial(e) vins</t>
  </si>
  <si>
    <t>Développe le portefeuille clients d'une maison de vins : prospection, conseil sur les accords mets-vins et négociation commerciale.</t>
  </si>
  <si>
    <t>Accessible via un BTSA Technico-commercial option Vins, bières et spiritueux ou un BTS Négociation et digitalisation de la relation client (Bac+2/3), avec poursuite possible en licence pro commerce.</t>
  </si>
  <si>
    <t>Caviste</t>
  </si>
  <si>
    <t>Choisit, stocke et vend des vins et spiritueux en conseillant la clientèle sur les accords et la dégustation.</t>
  </si>
  <si>
    <t>Accessible sans diplôme, mais le CQP Vendeur-conseil caviste (Bac/infra) est la voie professionnalisante de référence pour s'installer ; le CAPA Vigne et vin ou le BTSA Viticulture-œnologie apportent une base technique complémentaire.</t>
  </si>
  <si>
    <t>Responsable commercial export vins</t>
  </si>
  <si>
    <t>Développe et pilote les ventes de vins et spiritueux à l'international : stratégie commerciale et marketing export, négociation interculturelle, animation d'un réseau de distributeurs.</t>
  </si>
  <si>
    <t>École de commerce ou master spécialisé commerce international (Bac+5), idéalement avec une spécialisation vins &amp; spiritueux (ex. Master Management du Vin, MBA Wine &amp; Spirits).</t>
  </si>
  <si>
    <t>Vétérinaire à Kerguelen</t>
  </si>
  <si>
    <t>Assure le suivi sanitaire de la faune (manchots, otaries, éléphants de mer) dans le cadre des programmes scientifiques menés sur les îles subantarctiques.</t>
  </si>
  <si>
    <t>Chimiste sur l'île d'Amsterdam</t>
  </si>
  <si>
    <t>Réalise des mesures et analyses physico-chimiques de l'atmosphère et de l'environnement dans le cadre d'une mission scientifique isolée (TAAF).</t>
  </si>
  <si>
    <t>Pilote du Nautile</t>
  </si>
  <si>
    <t>Pilote le sous-marin habité Nautile lors de plongées scientifiques jusqu'à 6 000 m de profondeur, en lien avec le chef de mission scientifique.</t>
  </si>
  <si>
    <t>Accessible par expérience en mer (marine marchande ou nationale) : 8 à 10 ans de formation pratique chez Genavir/Ifremer sont nécessaires pour devenir pilote du submersible.</t>
  </si>
  <si>
    <t>Plongeur scientifique</t>
  </si>
  <si>
    <t>Recueille des données, échantillons et observations en milieu aquatique pour des programmes de recherche, en combinant expertise scientifique et compétences de plongée professionnelle.</t>
  </si>
  <si>
    <t>Pratiqué par des chercheurs, ingénieurs ou techniciens déjà formés dans leur discipline scientifique, complétée par une qualification de plongée scientifique du CNRS (certificat d'aptitude à l'hyperbarie mention B, stage spécifique).</t>
  </si>
  <si>
    <t>Plongeur scientifique / biologiste marin</t>
  </si>
  <si>
    <t>Recueille des données, échantillons et observations biologiques sous-marins pour des programmes de recherche, en combinant expertise scientifique et compétences de plongée professionnelle.</t>
  </si>
  <si>
    <t>Épidémiologie &amp; santé publique</t>
  </si>
  <si>
    <t>Ingénieur d'études sanitaires en ARS</t>
  </si>
  <si>
    <t>Contrôle la qualité des eaux et de l'environnement, instruit les dossiers sanitaires et réalise des inspections pour prévenir les risques liés à la santé-environnement au sein d'une Agence régionale de santé (ARS).</t>
  </si>
  <si>
    <t>Technicien sanitaire</t>
  </si>
  <si>
    <t>Contrôle la qualité des eaux, de l'air et des aliments, réalise des prélèvements et des inspections, et propose des mesures de prévention des risques sanitaires au sein d'une ARS.</t>
  </si>
  <si>
    <t>Concours catégorie B accessible dès le Bac (technicien sanitaire), ou avec un BTS/BUT scientifique (chimie, physique, sciences de la vie et de la Terre) pour le grade de technicien principal.</t>
  </si>
  <si>
    <t>Chargé de Projets Prévention</t>
  </si>
  <si>
    <t>Conçoit, met en œuvre et évalue des actions de prévention et de promotion de la santé auprès des populations, en lien avec les partenaires institutionnels et associatifs.</t>
  </si>
  <si>
    <t>Master santé publique, parcours prévention et promotion de la santé (Bac+5).</t>
  </si>
  <si>
    <t>Expert en identification par empreinte génétique</t>
  </si>
  <si>
    <t>Exploite les résultats d'analyses génétiques (ADN) issus du laboratoire pour identifier des individus dans le cadre d'enquêtes judiciaires, à l'Institut de recherche criminelle de la gendarmerie nationale (IRCGN).</t>
  </si>
  <si>
    <t>Master en génétique et génomique, puis concours d'officier de gendarmerie recruté sur titre pour intégrer l'IRCGN.</t>
  </si>
  <si>
    <t>Cosmochimiste</t>
  </si>
  <si>
    <t>Étudie la composition chimique des météorites, planètes et autres corps célestes pour comprendre la formation et l'évolution du système solaire.</t>
  </si>
  <si>
    <t>Cheffe de culture sous serre</t>
  </si>
  <si>
    <t>Dirige la production légumière sous serre : pilotage technique et climatique des cultures, gestion des équipes, de la logistique et des flux, du semis à la récolte.</t>
  </si>
  <si>
    <t>Accessible avec un BTS Agronomie et productions végétales (Bac+2/3), avec poursuite possible en école d'ingénieur agronome (Bac+5).</t>
  </si>
  <si>
    <t>Sciences de l'Univers et exobiologie</t>
  </si>
  <si>
    <t>Planétologue</t>
  </si>
  <si>
    <t>Étudie la formation, la géologie et l'évolution des planètes et de leurs environnements, en analysant roches, sols et données des missions spatiales (Mars, etc.).</t>
  </si>
  <si>
    <t>Physiologiste spatiale</t>
  </si>
  <si>
    <t>Étudie les effets de l'apesanteur et du vol spatial sur le corps humain (muscles, os, système cardiovasculaire) pour préparer et accompagner les missions spatiales habitées.</t>
  </si>
  <si>
    <t>Biologiste microgravité</t>
  </si>
  <si>
    <t>Étudie le comportement d'organismes vivants (cellules, plantes, micro-organismes) soumis à la microgravité, dans le cadre d'expériences embarquées en orbite.</t>
  </si>
  <si>
    <t>Directrice de recherche en physiologie spatiale</t>
  </si>
  <si>
    <t>Dirige des programmes de recherche sur les effets du vol spatial et de l'apesanteur sur l'organisme, en encadrant des équipes scientifiques et en collaborant avec les agences spatiales.</t>
  </si>
  <si>
    <t>Chargée d'études végétation en ville</t>
  </si>
  <si>
    <t>Mène des études sur le réaménagement urbain, la renaturation en ville et la végétalisation, entre développement de méthodologies et appui opérationnel aux collectivités (Cerema).</t>
  </si>
  <si>
    <t>Chargée d'affaires viticoles</t>
  </si>
  <si>
    <t>Accompagne financièrement les exploitations viticoles et leurs porteurs de projet (financement, suivi de la relation client) au sein d'une banque régionale.</t>
  </si>
  <si>
    <t>Diplôme d'ingénieur agronome (ex. Bordeaux Sciences Agro, spécialisation SEMEA - Stratégie, entrepreneuriat et management des entreprises agricoles), avec débouchés en banque/finance agricole (Bac+5).</t>
  </si>
  <si>
    <t>Sport - Performance &amp; physiologie</t>
  </si>
  <si>
    <t>Licence STAPS (entraînement/ergonomie) à Master/ingénieur ; parcours de sportif de haut niveau pour les pratiquants</t>
  </si>
  <si>
    <t>Sport - Encadrement &amp; enseignement</t>
  </si>
  <si>
    <t>Du BPJEPS/DEJEPS (parcours court) à la Licence/Master STAPS, jusqu'au doctorat pour l'enseignement-recherche</t>
  </si>
  <si>
    <t>Sport - Gestion &amp; développement sportif</t>
  </si>
  <si>
    <t>Licence STAPS management du sport à Master</t>
  </si>
  <si>
    <t>Santé - Médecine &amp; spécialités</t>
  </si>
  <si>
    <t>PASS/L.AS puis 2ᵉ-3ᵉ cycle d'études médicales/pharmaceutiques ou maïeutique (Bac+6 à Bac+11 selon spécialité)</t>
  </si>
  <si>
    <t>Santé - Paramédical &amp; rééducation</t>
  </si>
  <si>
    <t>Diplômes d'État paramédicaux, Bac+3 à Bac+5 (IFSI, écoles de kiné/ergo/orthophonie…)</t>
  </si>
  <si>
    <t>Santé - Soin, assistance &amp; appui hospitalier</t>
  </si>
  <si>
    <t>Du Bac (AS, secrétariat médical) au BTS/DUT (Bac+2/3) — parcours courts valorisés</t>
  </si>
  <si>
    <t>Santé - Biologie médicale</t>
  </si>
  <si>
    <t>Master de biologie/biochimie médicale ou pharmacie (Bac+5) à doctorat</t>
  </si>
  <si>
    <t>Agronomie - Production, conseil &amp; exploitation</t>
  </si>
  <si>
    <t>Bac pro / BPREA (parcours court, souvent en installation directe) à BTSA + expérience pour les postes de conseil</t>
  </si>
  <si>
    <t>Agronomie - Viticulture</t>
  </si>
  <si>
    <t>Bac pro Viticulture-Œnologie à BTSA Viti-Œno (Bac+2/3), Ingénieur agronome pour les postes de responsable/directeur</t>
  </si>
  <si>
    <t>Agronomie - Recherche &amp; laboratoire végétal</t>
  </si>
  <si>
    <t>BTSA/Licence pro (technicien) à Ingénieur agronome/Master, doctorat pour les postes de recherche</t>
  </si>
  <si>
    <t>Agronomie - Certification variétale &amp; semences</t>
  </si>
  <si>
    <t>BTSA à Ingénieur agronome ; formations spécifiques GEVES/SEMAE pour les métiers de certification variétale</t>
  </si>
  <si>
    <t>Forêts - Gestion &amp; aménagement forestier</t>
  </si>
  <si>
    <t>Écoles forestières (AgroParisTech…) ou licences écologie/géomatique, jusqu'à Bac+5</t>
  </si>
  <si>
    <t>Forêts - Exploitation &amp; sylviculture</t>
  </si>
  <si>
    <t>Bac pro forêt, BTSA Gestion forestière (parcours court) à BP Responsable de chantiers forestiers</t>
  </si>
  <si>
    <t>Forêts - Transformation &amp; industrie du bois</t>
  </si>
  <si>
    <t>CAP/Bac pro bois à BTS, écoles d'ingénieurs bois selon le poste</t>
  </si>
  <si>
    <t>Agroalimentaire - Production &amp; exploitation</t>
  </si>
  <si>
    <t>Bac pro/BTS agroalimentaire (parcours court) à ingénieur pour les postes de direction</t>
  </si>
  <si>
    <t>Agroalimentaire - Recherche &amp; développement produit</t>
  </si>
  <si>
    <t>BTSA/Licence à Master/Ingénieur agroalimentaire, doctorat pour les postes de recherche</t>
  </si>
  <si>
    <t>Agroalimentaire - Qualité, sécurité &amp; innovation industrielle</t>
  </si>
  <si>
    <t>BTS/Licence pro qualité à Master/Ingénieur, spécialisations digital/IAA</t>
  </si>
  <si>
    <t>Agroalimentaire - Marketing, commercial &amp; développement</t>
  </si>
  <si>
    <t>BTS/Licence pro à Master, école de commerce ou ingénieur agro + marketing</t>
  </si>
  <si>
    <t>Volcanologue</t>
  </si>
  <si>
    <t>Étudie la structure, le fonctionnement et l'évolution des volcans (mesures de terrain, prélèvements, surveillance) pour mieux comprendre et anticiper les éruptions.</t>
  </si>
  <si>
    <t>Master en géosciences (géophysique, géochimie, magmas et volcans) ou diplôme d'ingénieur en géologie (Bac+5), souvent complété par un doctorat pour les postes de recherche.</t>
  </si>
  <si>
    <t>Technicien de qualité</t>
  </si>
  <si>
    <t>Contrôle la conformité des matériaux (carrières, granulats) par des essais et interprète les résultats pour garantir la solidité et la durabilité des ouvrages de construction.</t>
  </si>
  <si>
    <t>Pilote d'installations de traitement des granulats</t>
  </si>
  <si>
    <t>Pilote et surveille une installation automatisée de traitement des granulats (sable, gravier) : approvisionnement, réglages, maintenance de premier niveau et respect des consignes de sécurité.</t>
  </si>
  <si>
    <t>Accessible via un Bac Pro Maintenance des systèmes mécanisés automatisés ou un CQP Pilote d'installations de traitement des granulats (accessible sans diplôme préalable), avec poursuite possible en BTS.</t>
  </si>
  <si>
    <t>Chef de carrière</t>
  </si>
  <si>
    <t>Organise et supervise la production d'une carrière : gestion des équipes, de la maintenance et du parc d'engins, tout en veillant au respect des réglementations environnementales (traitement des eaux, abattement des poussières).</t>
  </si>
  <si>
    <t>Accessible via un CQP Chef de carrière, une MC Exploitation de carrières et traitement des granulats, un BTS/DEUST spécialisé (Bac+2/3), ou par promotion interne après expérience en carrière.</t>
  </si>
  <si>
    <t>Responsable du Pôle Géosciences (CFA UNICEM)</t>
  </si>
  <si>
    <t>Docteur en sciences de la Terre, ancien enseignant-chercheur à l'université, pilote les formations du Pôle Géosciences du CFA UNICEM (BTS Géologie appliquée et autres métiers de la valorisation du sous-sol).</t>
  </si>
  <si>
    <t>Doctorat en sciences de la Terre, avec expérience préalable d'enseignant-chercheur à l'université avant de rejoindre le secteur privé/la formation professionnelle.</t>
  </si>
  <si>
    <t>Géologue carrière et matériaux de construction</t>
  </si>
  <si>
    <t>Étudie la géologie des gisements pour identifier, évaluer et exploiter les ressources minérales (roches, sables, graviers) destinées à la production de matériaux de construction.</t>
  </si>
  <si>
    <t>Dirige le laboratoire de contrôle qualité d'une entreprise de carrières et matériaux : essais et analyses sur les matériaux, vérification de leur conformité aux normes avant leur mise sur le marché.</t>
  </si>
  <si>
    <t>Responsable développement matériaux</t>
  </si>
  <si>
    <t>Pilote le développement de nouveaux matériaux et l'amélioration des procédés de production au sein d'une entreprise de carrières et matériaux.</t>
  </si>
  <si>
    <t>Responsable d'exploitation</t>
  </si>
  <si>
    <t>Supervise l'ensemble de l'exploitation d'un site (carrière, centrale à béton ou à granulats) : production, sécurité, qualité et gestion des équipes.</t>
  </si>
  <si>
    <t>Tailleur de Pierre</t>
  </si>
  <si>
    <t>Façonne et sculpte la pierre à la main ou à l'aide d'outils mécaniques pour la construction, la restauration de monuments ou la création artistique.</t>
  </si>
  <si>
    <t>Directeur général des services (communauté d'agglomération)</t>
  </si>
  <si>
    <t>Pilote le management stratégique des politiques publiques, des équipes et du budget d'une collectivité territoriale, en appui du président et de son exécutif.</t>
  </si>
  <si>
    <t>Diplôme d'ingénieur agronome (ex. ENITA), souvent après une maîtrise de biologie ; débouché possible dans l'administration territoriale via un premier poste de chargé de mission (programmes européens, développement local).</t>
  </si>
  <si>
    <t>Professeure-documentaliste</t>
  </si>
  <si>
    <t>Gère le centre de documentation et d'information (CDI) d'un établissement scolaire : accompagne les élèves dans leurs recherches documentaires et leur maîtrise de l'information, en collaboration avec les équipes pédagogiques.</t>
  </si>
  <si>
    <t>Master MEEF ou équivalent (Bac+5) puis concours de professeur documentaliste (CAPES documentation).</t>
  </si>
  <si>
    <t>Enseignant en biologie/écologie en lycée agricole</t>
  </si>
  <si>
    <t>Enseigne la biologie-écologie en lycée agricole (bac technologique STAV, bac général) : cours théoriques et sorties de terrain pour l'analyse des milieux naturels.</t>
  </si>
  <si>
    <t>Master enseignement (Bac+5) puis concours de l'enseignement agricole (CAPESA/PLPA, ministère de l'Agriculture).</t>
  </si>
  <si>
    <t>Technicien de rivière</t>
  </si>
  <si>
    <t>Met en œuvre des travaux de restauration des cours d'eau et zones humides (concertation avec les riverains, études, suivi de chantier) pour reconquérir la qualité de l'eau et des milieux aquatiques.</t>
  </si>
  <si>
    <t>BTS Gestion et protection de la nature (ou Gestion des milieux) suffit pour débuter dans un syndicat de bassin versant ; poursuite possible en master (ex. Master Gestion des bassins versants et des hydrosystèmes).</t>
  </si>
  <si>
    <t>Professeur des écoles</t>
  </si>
  <si>
    <t>Enseigne l'ensemble des matières du programme (dont les sciences) aux élèves de maternelle ou d'élémentaire, en adaptant sa pédagogie à chaque niveau de classe.</t>
  </si>
  <si>
    <t>Master MEEF premier degré (Bac+5) puis concours de recrutement des professeurs des écoles (CRPE).</t>
  </si>
  <si>
    <t>Avocat(e) en droit agroalimentaire</t>
  </si>
  <si>
    <t>Conseille et représente des entreprises du secteur agroalimentaire sur les questions juridiques liées à la réglementation alimentaire, sanitaire et environnementale.</t>
  </si>
  <si>
    <t>Master en droit (Bac+5) puis Certificat d'aptitude à la profession d'avocat (CAPA), avec une spécialisation en droit agroalimentaire.</t>
  </si>
  <si>
    <t>Inspecteur de la concurrence, consommation et répression des fraudes (DGCCRF)</t>
  </si>
  <si>
    <t>Enquête auprès des professionnels pour protéger les consommateurs et garantir une concurrence loyale entre les entreprises, au sein d'une direction départementale de la protection des populations (DDPP).</t>
  </si>
  <si>
    <t>Concours catégorie A accessible avec une licence (Bac+3) minimum, à dominante juridique-économique ou scientifique-technologique.</t>
  </si>
  <si>
    <t>Inspecteur à la DDPP (Direction départementale de la protection des populations)</t>
  </si>
  <si>
    <t>Assure les missions de contrôle de la DGCCRF au sein d'une direction départementale : protection des consommateurs, sécurité sanitaire et loyauté des transactions.</t>
  </si>
  <si>
    <t>Préparateur en pharmacie</t>
  </si>
  <si>
    <t>Seconde le pharmacien : prépare et délivre les médicaments, gère les stocks et conseille les clients en pharmacie d'officine ou en établissement de santé.</t>
  </si>
  <si>
    <t>DEUST Préparateur en pharmacie (Bac+2), en apprentissage, accessible après le bac ; remplace depuis 2023 l'ancien Brevet Professionnel.</t>
  </si>
  <si>
    <t>Technicien Supérieur de la Météorologie</t>
  </si>
  <si>
    <t>Assure l'exploitation des stations d'observation, le traitement des données et l'assistance météorologique aux usagers (aéronautique, collectivités, médias) au sein de Météo-France.</t>
  </si>
  <si>
    <t>Concours de recrutement de technicien supérieur de la météorologie (Bac+2, catégorie B), formation à l'École nationale de la météorologie.</t>
  </si>
  <si>
    <t>Bac / Infra</t>
  </si>
  <si>
    <t>Ingénieur Système d'Information (agriculture de précision)</t>
  </si>
  <si>
    <t>Développe et déploie des outils numériques pour l'agriculture de précision (cartes de modulation pour tracteurs, algorithmes agronomiques à partir d'images satellite) au sein d'une entreprise du groupe Invivo : programmation, recueil des besoins utilisateurs et traduction agronomique des projets informatiques.</t>
  </si>
  <si>
    <t>Diplôme d'ingénieur agronome avec spécialisation en agriculture de précision (« Agrotic », ex. Bordeaux Sciences Agro).</t>
  </si>
  <si>
    <t>Chargée de mission climat (agriculture biologique)</t>
  </si>
  <si>
    <t>Accompagne un réseau national d'agriculteurs bio sur l'adaptation au changement climatique et la réduction des gaz à effet de serre : gestion de projets, veille et recherche, outils techniques, plaidoyer, formations et sensibilisation.</t>
  </si>
  <si>
    <t>Diplôme d'ingénieur agronome avec spécialisation en gouvernance de la transition écologique (ex. Bordeaux Sciences Agro, en partenariat avec AgroParisTech).</t>
  </si>
  <si>
    <t>Fondatrice et gérante d'une marque de cosmétique naturelle (Elfen Cosmétique)</t>
  </si>
  <si>
    <t>Crée et dirige sa propre marque de soins cosmétiques à base d'huile de caméline, valorisant une culture agricole endogène peu connue : formulation, production en laboratoire, commercialisation et communication.</t>
  </si>
  <si>
    <t>Diplôme d'ingénieur agronome, spécialisation stratégie, entrepreneuriat et management des entreprises agricoles, statut étudiant-entrepreneur (dispositif PEPITE).</t>
  </si>
  <si>
    <t>Crée et commercialise sa propre marque de soins cosmétiques à base d'huile de caméline : positionnement de marque, stratégie commerciale et de communication pour faire redécouvrir une matière première agricole peu connue auprès des consommateurs.</t>
  </si>
  <si>
    <t>Chargée d'affaires et coordinatrice en agrivoltaïsme</t>
  </si>
  <si>
    <t>Premier contact commercial des clients porteurs d'un projet agrivoltaïque au sein d'un bureau d'études : identifie leurs besoins, commercialise les prestations d'études agricoles nécessaires au montage du projet, puis coordonne le suivi de ces études avec les chargés d'études.</t>
  </si>
  <si>
    <t>Diplôme d'ingénieur agronome, spécialisation QHSE (qualité, hygiène, sécurité, environnement) ; parcours varié (grande distribution, BTP) avant une reconversion vers les bureaux d'études en énergies renouvelables.</t>
  </si>
  <si>
    <t>Conseiller agro-environnement et eau</t>
  </si>
  <si>
    <t>Accompagne les agriculteurs d'une Chambre d'agriculture sur les projets hydrauliques (retenues d'irrigation, modernisation) et la mise en œuvre de la directive nitrate, tout en participant à un projet européen sur les pratiques agroécologiques et la résilience des territoires.</t>
  </si>
  <si>
    <t>Diplôme d'ingénieur agronome par apprentissage, après un BTS agricole (ex. Bordeaux Sciences Agro).</t>
  </si>
  <si>
    <t>Responsable viticole</t>
  </si>
  <si>
    <t>Gère l'intégralité du vignoble d'un château au quotidien : encadrement du personnel, suivi technique de la vigne et du chai, avec une forte polyvalence entre terrain et gestion.</t>
  </si>
  <si>
    <t>Diplôme d'ingénieur agronome, spécialisation viticulture-œnologie en double diplôme avec le Diplôme National d'Œnologue (DNO), Bac+5.</t>
  </si>
  <si>
    <t>Chargé d'investissement et de gestion forestière</t>
  </si>
  <si>
    <t>Assure la gestion des fonds forestiers pour des investisseurs institutionnels (assurances, banques) : suivi terrain avec les gestionnaires, validation des travaux et des coupes, projets carbone et biodiversité, et présentation des dossiers financiers et extra-financiers aux clients.</t>
  </si>
  <si>
    <t>Diplôme d'ingénieur agronome, spécialisation foresterie par apprentissage (ex. Bordeaux Sciences Agro).</t>
  </si>
  <si>
    <t>Consultante en financement de la transition</t>
  </si>
  <si>
    <t>Accompagne des start-up et jeunes entreprises innovantes dans un cabinet d'avocats pour obtenir des financements publics (subventions ADEME, BPI France, aides de l'État) en réponse à des appels à projets.</t>
  </si>
  <si>
    <t>Diplôme d'ingénieur agronome, spécialisation stratégie, entrepreneuriat et management des entreprises agricoles, en contrat de professionnalisation.</t>
  </si>
  <si>
    <t>Cheffe de projet développement agrivoltaïque</t>
  </si>
  <si>
    <t>Développe un parc agrivoltaïque de l'acquisition de la parcelle à la construction : échange avec l'exploitant agricole sur ses pratiques culturales, montage des autorisations environnementales, réalisation des études agricoles d'impact et dépôt du permis de construire.</t>
  </si>
  <si>
    <t>Diplôme d'ingénieur agronome, spécialisation stratégie, entrepreneuriat et management des entreprises agricoles.</t>
  </si>
  <si>
    <t>Chargée d'études biodiversité (élevage)</t>
  </si>
  <si>
    <t>Fait le lien entre monde agricole et environnement à l'Institut de l'élevage : enquête sur les pratiques des éleveurs, inventorie les habitats (haies, bosquets) sur leurs parcelles, puis analyse les données et propose des améliorations favorables à la biodiversité.</t>
  </si>
  <si>
    <t>Diplôme d'ingénieur agronome, spécialisation élevage et gestion des ressources (ex. Bordeaux Sciences Agro).</t>
  </si>
  <si>
    <t>Chef de projet télédétection agricole (semences)</t>
  </si>
  <si>
    <t>Développe un service de télédétection par imagerie satellite pour détecter les plants hors-type dans les cultures semencières (ex. tournesol) : pilotage technique de l'outil avec l'équipe R&amp;D et développement commercial auprès des semenciers.</t>
  </si>
  <si>
    <t>Diplôme d'ingénieur agronome, spécialisation agriculture de précision (« Agrotic », ex. Bordeaux Sciences Agro), en contrat de professionnalisation.</t>
  </si>
  <si>
    <t>Agronome (agrivoltaïsme)</t>
  </si>
  <si>
    <t>Support transversal sur tous les sujets agricoles d'un promoteur agrivoltaïque : accompagne les chefs de projet dans les échanges avec les agriculteurs pour construire les projets agricoles, répond aux questions techniques (PAC, itinéraires culturaux, comptabilité d'exploitation) et assure le suivi agricole des parcs une fois construits (ex. pousse de la prairie sous les panneaux).</t>
  </si>
  <si>
    <t>Diplôme d'ingénieur agronome, spécialisation gestion des ressources et de l'environnement (ex. Bordeaux Sciences Agro).</t>
  </si>
  <si>
    <t>Co-fondateur et dirigeant d'une entreprise de valorisation de biodéchets</t>
  </si>
  <si>
    <t>Dirige une entreprise qui revalorise les coproduits et biodéchets de l'industrie agroalimentaire : montage de projets, recherche de financements, prospection commerciale et gestion d'équipe.</t>
  </si>
  <si>
    <t>Diplôme d'ingénieur agronome, spécialisation stratégie, entrepreneuriat et management des entreprises agricoles, création d'entreprise sous statut étudiant-entrepreneur.</t>
  </si>
  <si>
    <t>Chargée d'études environnementales</t>
  </si>
  <si>
    <t>Accompagne les collectivités dans l'élaboration de leur politique publique environnementale au sein d'un bureau d'études : missions variées sur différents territoires, en lien avec les services de l'État, experts techniques et techniciens des collectivités.</t>
  </si>
  <si>
    <t>Diplôme d'ingénieur agronome, spécialisation gestion des ressources et de l'environnement et des espaces naturels (ex. Bordeaux Sciences Agro).</t>
  </si>
  <si>
    <t>Médecin en médecine physique et réadaptation (MPR)</t>
  </si>
  <si>
    <t>Évalue et rééduque les patients atteints de déficiences motrices, sensorielles ou cognitives (suites d'accident, AVC, amputation) pour optimiser leur récupération fonctionnelle et leur autonomie, en coordonnant une équipe pluridisciplinaire (kinés, ergothérapeutes, appareilleurs).</t>
  </si>
  <si>
    <t>Médecin du sport</t>
  </si>
  <si>
    <t>Assure le suivi médical des sportifs (visites d'aptitude, prévention et traitement des blessures liées à la pratique sportive) et les accompagne dans l'optimisation de leur performance et leur retour au sport après blessure.</t>
  </si>
  <si>
    <t>PASS/L.AS puis 3e cycle de médecine avec DES/DESC ou capacité en médecine et biologie du sport.</t>
  </si>
  <si>
    <t>Physiologiste de l'exercice</t>
  </si>
  <si>
    <t>Étudie les réponses et adaptations physiologiques du corps à l'exercice physique (cardio-respiratoires, métaboliques, musculaires) pour optimiser l'entraînement et la performance des sportifs.</t>
  </si>
  <si>
    <t>Doctorat en physiologie de l'exercice, après un master en sciences de l'activité physique (STAPS) ou en physiologie.</t>
  </si>
  <si>
    <t>Podologue du sport</t>
  </si>
  <si>
    <t>Réalise le bilan podologique des sportifs, conçoit des semelles orthopédiques adaptées à leur pratique et prévient les blessures liées aux troubles posturaux et à l'appui du pied.</t>
  </si>
  <si>
    <t>Diplôme d'État de pédicure-podologue (Bac+3), avec spécialisation possible en podologie du sport (DU sport).</t>
  </si>
  <si>
    <t>Podo-orthésiste</t>
  </si>
  <si>
    <t>Conçoit, fabrique et adapte des appareillages orthopédiques sur mesure du pied (chaussures thérapeutiques, semelles, orthèses) à partir d'une prescription médicale : examen clinique, moulage, fabrication et ajustement.</t>
  </si>
  <si>
    <t>BTS Podo-orthésiste (3 ans, Bac+2/3), accessible après un bac général, technologique (ST2S, STI2D) ou professionnel.</t>
  </si>
  <si>
    <t>Professeur d'Éducation Physique et Sportive (EPS)</t>
  </si>
  <si>
    <t>Enseigne l'éducation physique et sportive aux élèves du secondaire (collège ou lycée), en concevant des cycles d'apprentissage variés et en assurant le suivi pédagogique et la sécurité des élèves.</t>
  </si>
  <si>
    <t>Licence STAPS puis Master MEEF (métiers de l'enseignement) et concours du CAPEPS (ou agrégation).</t>
  </si>
  <si>
    <t>Glaciologue</t>
  </si>
  <si>
    <t>Étudie les glaciers de montagne (mesures de terrain, bilans de masse) pour comprendre l'évolution du climat, tout en assurant un travail de médiation scientifique auprès du public sur le réchauffement climatique.</t>
  </si>
  <si>
    <t>Sismologue</t>
  </si>
  <si>
    <t>Analyse les ondes sismiques enregistrées en surface pour cartographier les structures du manteau terrestre (modèles tomographiques) et en comprendre la composition et l'histoire, au sein d'un laboratoire de recherche (CNRS).</t>
  </si>
  <si>
    <t>Cursus en sciences de la Terre puis spécialisation en géophysique (master), suivi d'un doctorat et généralement de post-doctorats avant un recrutement au CNRS.</t>
  </si>
  <si>
    <t>Hydrologue prévisionniste</t>
  </si>
  <si>
    <t>Modélise la transformation de la pluie en débit dans les rivières (bassins versants) pour prévoir les crues et les étiages, au sein d'un laboratoire de recherche, avec des collaborations internationales sur des contextes climatiques variés.</t>
  </si>
  <si>
    <t>Master ou diplôme d'ingénieur en hydrologie/hydrogéologie, généralement complété par un doctorat pour les postes de recherche.</t>
  </si>
  <si>
    <t>Prévisionniste crues (Vigicrues)</t>
  </si>
  <si>
    <t>Évalue le risque de crue dans les 24 heures à partir des données de hauteur d'eau et de débit des stations hydrométriques et des prévisions de pluie de Météo-France, pour émettre les bulletins de vigilance transmis aux services de sécurité civile (réseau Vigicrues, service de l'État).</t>
  </si>
  <si>
    <t>Master ou diplôme d'ingénieur en hydrologie, hydraulique ou sciences de l'eau ; recrutement au sein des services de prévision des crues (DREAL/SPC).</t>
  </si>
  <si>
    <t>Chercheur en hydraulique torrentielle (crues et laves torrentielles)</t>
  </si>
  <si>
    <t>Étudie les crues et laves torrentielles en montagne (charriage de sédiments et de bois flotté) en croisant archives, données satellitaires, observations de terrain et modélisations, pour mieux les prédire et appuyer les services de l'État après des événements extrêmes (INRAE).</t>
  </si>
  <si>
    <t>Diplôme d'ingénieur hydraulicien puis doctorat en géomorphologie, souvent après une expérience en bureau d'études (protection contre les inondations, restauration des milieux aquatiques).</t>
  </si>
  <si>
    <t>Chargé de mission RTM - Restauration des Terrains en Montagne (ONF)</t>
  </si>
  <si>
    <t>Prévient les risques naturels en montagne (avalanches, laves torrentielles) en s'appuyant sur le boisement de protection et des ouvrages de génie civil (filets, râteliers paravalanches, digues) : diagnostic de terrain, suivi des ouvrages (y compris par drone) et appui technique aux collectivités après les événements.</t>
  </si>
  <si>
    <t>Diplôme d'ingénieur forestier ou agronome (Bac+5), mission d'intérêt général confiée à l'ONF par les ministères de l'Agriculture et de la Transition écologique.</t>
  </si>
  <si>
    <t>Chargé de mission risques naturels (territoire alpin)</t>
  </si>
  <si>
    <t>Accompagne un territoire de montagne dans l'adoption d'une démarche de gestion intégrée des risques naturels (avalanches, crues torrentielles, éboulements, feux de forêt) : diagnostic partagé, intégration du risque dans l'urbanisme, systèmes d'alerte et mobilisation de financements européens pour les ouvrages de protection.</t>
  </si>
  <si>
    <t>Master ou diplôme d'ingénieur en gestion des risques naturels/aménagement du territoire, souvent au sein d'une collectivité, d'un syndicat mixte ou d'une structure d'appui comme le PARN (Pôle Alpin des Risques Naturels).</t>
  </si>
  <si>
    <t>Chargé de mission valorisation des espaces naturels sensibles et du bien UNESCO</t>
  </si>
  <si>
    <t>Contribue à la valorisation des espaces naturels sensibles et du bien UNESCO d'une collectivité territoriale (Martinique) : tâches administratives, organisation de visites de sites et de rencontres avec les partenaires, appui aux études sur les chaînes de valeur de la biodiversité, dans le cadre d'un volontariat international.</t>
  </si>
  <si>
    <t>Licence en géographie et aménagement du territoire, mission réalisée dans le cadre d'un programme de volontariat international (France Volontaires).</t>
  </si>
  <si>
    <t>Chargé d'entretien des espaces naturels (Parc national)</t>
  </si>
  <si>
    <t>Entretient les sentiers de randonnée et aires de pique-nique d'un parc national : débroussaillage, abattage d'arbres dangereux, aménagements en bois (platelage, escaliers, garde-corps) pour sécuriser l'accès et canaliser les visiteurs tout en préservant les milieux naturels.</t>
  </si>
  <si>
    <t>Bac pro aménagements paysagers ou travaux forestiers, ou CAPA ; métier de terrain exigeant une bonne condition physique.</t>
  </si>
  <si>
    <t>Géomaticienne — télédétection appliquée aux risques naturels</t>
  </si>
  <si>
    <t>Exploite les images satellites et les données géospatiales pour cartographier les territoires et aider à anticiper et gérer les risques naturels.</t>
  </si>
  <si>
    <t>Licence de géographie ou sciences de la Terre, puis master télédétection/géomatique (ex. master Risques et environnement, parcours Télédétection et géomatique appliquées à l'environnement).</t>
  </si>
  <si>
    <t>Chercheuse en chimie bio-inorganique (métaux et maladie d'Alzheimer)</t>
  </si>
  <si>
    <t>Étudie le rôle des ions métalliques (cuivre, zinc) dans le déclenchement de la maladie d'Alzheimer et conçoit des molécules capables de les capter, à l'interface entre chimie et biologie, au CNRS.</t>
  </si>
  <si>
    <t>Licence puis master de chimie (ou école d'ingénieur chimie), doctorat en chimie bio-inorganique.</t>
  </si>
  <si>
    <t>Chercheur en neuro-ingénierie (bioélectronique)</t>
  </si>
  <si>
    <t>Conçoit des dispositifs électroniques souples et miniaturisés (microélectrodes, polymères conducteurs) capables de communiquer avec les neurones et les muscles, pour explorer le système nerveux et développer implants et prothèses, au CNRS.</t>
  </si>
  <si>
    <t>École d'ingénieur ou master en matériaux / bioingénierie (physique-chimie), puis doctorat en bioélectronique et micro-nanotechnologies.</t>
  </si>
  <si>
    <t>Chercheuse en épigénétique (inactivation du chromosome X)</t>
  </si>
  <si>
    <t>Étudie l'épigénétique — les changements réversibles et héritables de l'activité des gènes sans modification de la séquence d'ADN — à travers l'inactivation du chromosome X, avec des retombées sur les cancers et les maladies immunitaires et neurodégénératives ; dirige aujourd'hui un grand institut européen de recherche (EMBL).</t>
  </si>
  <si>
    <t>Licence de biologie puis doctorat en génétique, post-doctorat en laboratoire de recherche (ex. Institut Pasteur), puis carrière de chercheuse (Institut Curie, CNRS) jusqu'à la direction d'un institut de recherche.</t>
  </si>
  <si>
    <t>Chercheur en microbiologie — nanomachines bactériennes</t>
  </si>
  <si>
    <t>Étudie les nanomachines des bactéries, en particulier le système de sécrétion de type VI qui leur sert d'arme pour injecter des toxines dans les bactéries concurrentes : comprendre ces mécanismes ouvre des pistes de nouvelles stratégies antibactériennes, au CNRS.</t>
  </si>
  <si>
    <t>Licence puis master de microbiologie / biologie moléculaire, doctorat en microbiologie et post-doctorat, avant le concours de chargé de recherche.</t>
  </si>
  <si>
    <t>Bioarchéologue — alimentation des populations anciennes</t>
  </si>
  <si>
    <t>Reconstitue l'alimentation et le mode de vie des populations du passé (ex. Néolithique) en analysant la composition isotopique des ossements humains et animaux issus de fouilles archéologiques, au CNRS.</t>
  </si>
  <si>
    <t>Master d'archéologie / bioarchéologie (après une licence d'archéologie ou de biologie), doctorat, puis poste de chargé·e de recherche (CNRS, universités).</t>
  </si>
  <si>
    <t>Chercheur en biologie cellulaire du plancton (photosymbiose)</t>
  </si>
  <si>
    <t>Étudie la photosymbiose en milieu aquatique : comment des microalgues vivent à l'intérieur de cellules du plancton et transforment leur hôte, grâce à l'imagerie 3D et à l'analyse chimique des cellules, au CNRS.</t>
  </si>
  <si>
    <t>Licence de biologie puis master de biologie marine / biologie cellulaire, doctorat en océanographie biologique et post-doctorat, avant le concours de chargé de recherche.</t>
  </si>
  <si>
    <t>Chercheuse en géomorphologie — cartographie du permafrost de montagne</t>
  </si>
  <si>
    <t>Cartographie et modélise le permafrost des parois de haute montagne (température des roches, dégel lié au réchauffement) pour comprendre et anticiper les éboulements rocheux, au CNRS.</t>
  </si>
  <si>
    <t>Licence de géographie ou de sciences de la Terre, master géomorphologie / risques en montagne, doctorat puis poste de chargée de recherche (CNRS).</t>
  </si>
  <si>
    <t>Chercheuse en biologie structurale (biosynthèse des sucres complexes)</t>
  </si>
  <si>
    <t>Étudie la structure et le fonctionnement des enzymes qui fabriquent les glycosaminoglycanes, des sucres complexes essentiels aux tissus et au développement, à l'aide de la cryo-microscopie électronique, au CNRS.</t>
  </si>
  <si>
    <t>Licence puis master de biochimie / biologie structurale, doctorat en biologie structurale et post-doctorat, avant le concours de chargée de recherche.</t>
  </si>
  <si>
    <t>Chercheuse en géodésie — déformations non tectoniques de la Terre</t>
  </si>
  <si>
    <t>Mesure les mouvements de la surface terrestre par géodésie spatiale (GPS/GNSS, gravimétrie satellitaire) pour identifier les déformations d'origine non tectonique — variations des masses d'eau, cycles saisonniers — et leur influence sur les séismes.</t>
  </si>
  <si>
    <t>Licence de sciences de la Terre ou de physique, master géophysique / géodésie, doctorat puis poste de chercheuse en organisme public (IGN, IPGP, CNRS).</t>
  </si>
  <si>
    <t>Chercheur en interactions microbiote-hôte (croissance et développement)</t>
  </si>
  <si>
    <t>Étudie comment les bactéries du microbiote intestinal influencent la croissance et le développement juvénile, en comparant des organismes modèles (drosophile, souris) élevés avec ou sans ces bactéries, au CNRS.</t>
  </si>
  <si>
    <t>Licence puis master de biologie, doctorat en biologie (recherche fondamentale) et post-doctorat, avant un poste de chargé puis de directeur de recherche (CNRS).</t>
  </si>
  <si>
    <t>Chercheuse en histoire et sociologie des sciences (gouvernement des risques)</t>
  </si>
  <si>
    <t>SVT + HGGSP, SVT + SES ou SVT + Physique-Chimie</t>
  </si>
  <si>
    <t>SVT+HGGSP | SVT+SES | SVT+PC</t>
  </si>
  <si>
    <t>Étudie les liens entre science, société et politique : comment les risques nucléaires, chimiques ou climatiques sont reconnus, quantifiés par l'expertise scientifique et pris en charge par les pouvoirs publics (histoire et sociologie des sciences, CNRS et université).</t>
  </si>
  <si>
    <t>Licence puis master en histoire des sciences, sociologie ou science politique, doctorat en sciences sociales, puis carrière d'enseignante-chercheuse (université, CNRS).</t>
  </si>
  <si>
    <t>Chercheuse en virologie évolutive (émergences virales et immunité antivirale)</t>
  </si>
  <si>
    <t>Étudie l'interaction moléculaire entre les virus et leurs hôtes : retrace par bioinformatique l'évolution des protéines de défense des primates et des chauves-souris, puis teste leur pouvoir antiviral en laboratoire de haute sécurité (VIH, coronavirus) pour comprendre les émergences virales et les zoonoses, au CNRS.</t>
  </si>
  <si>
    <t>Licence puis master de biologie (virologie, immunologie ou biologie évolutive), doctorat puis post-doctorat à l'étranger, avant le concours de chargée de recherche (CNRS, Inserm).</t>
  </si>
  <si>
    <t>Chercheuse en biofonctionnalisation des surfaces (implants)</t>
  </si>
  <si>
    <t>Étudie comment les cellules humaines et les bactéries adhèrent aux surfaces d'implants en alliage de titane : caractérise des micro- et nanotexturations réalisées au laser et mesure leur effet sur l'adhérence cellulaire et bactérienne, à l'interface entre tribologie, matériaux et biologie, au CNRS.</t>
  </si>
  <si>
    <t>Licence puis master de biologie cellulaire ou de science des matériaux (ou école d'ingénieur), doctorat pluridisciplinaire biologie/biomatériaux, puis poste de chercheuse ou d'ingénieure de recherche en laboratoire.</t>
  </si>
  <si>
    <t>Ingénieure de recherche en microscopie de super-résolution</t>
  </si>
  <si>
    <t>Développe des solutions chimiques et des méthodes pour la nanoscopie dSTORM, une microscopie de super-résolution qui permet d'observer les cellules à l'échelle de la molécule unique, et accompagne le transfert de ces innovations vers un partenaire industriel, au CNRS.</t>
  </si>
  <si>
    <t>Licence puis master de biologie cellulaire ou d'imagerie, doctorat et post-doctorat, avant un poste d'ingénieure de recherche sur une plateforme d'imagerie (CNRS, université).</t>
  </si>
  <si>
    <t>Ingénieur de recherche en microfluidique</t>
  </si>
  <si>
    <t>Utilise des microgouttes d'eau dans l'huile comme micro-réacteurs pour analyser les cellules une par une : criblage à très haut débit d'enzymes et de micro-organismes (dont des enzymes qui dégradent le plastique), étude de la diversité du plancton et assemblage de compartiments artificiels, au CNRS.</t>
  </si>
  <si>
    <t>École d'ingénieur en chimie ou master de biochimie / biologie moléculaire, puis doctorat à l'interface chimie-biologie, avant un poste d'ingénieur de recherche (CNRS).</t>
  </si>
  <si>
    <t>Chercheuse en économie écologique (modèles bioéconomiques)</t>
  </si>
  <si>
    <t>SVT + SES, SVT + Maths ou SVT + Physique-Chimie</t>
  </si>
  <si>
    <t>SVT+SES | SVT+Maths | SVT+PC</t>
  </si>
  <si>
    <t>Étudie la crise de la biodiversité à l'interface de l'économie, de l'écologie et de la philosophie : construit des modèles bioéconomiques (équations économiques et écologiques) pour simuler les décisions des agriculteurs et prédire les effets des politiques publiques, comme la politique agricole commune, sur les écosystèmes ; mène aussi des projets art-science, au CNRS.</t>
  </si>
  <si>
    <t>Licence puis master d'économie, de mathématiques appliquées ou d'écologie, doctorat interdisciplinaire (économie-écologie) et post-doctorat, avant le concours de chargée de recherche (CNRS).</t>
  </si>
  <si>
    <t>Chercheur en chimie biologique (métaux et cellules cancéreuses)</t>
  </si>
  <si>
    <t>Dirige une équipe de chimistes et de biologistes qui décrypte les transformations chimiques des cellules, notamment le rôle du fer et du cuivre dans l'adaptation des cellules cancéreuses aux traitements, et conçoit puis synthétise de petites molécules pour visualiser ces mécanismes et identifier de nouvelles cibles thérapeutiques, au CNRS (Institut Curie).</t>
  </si>
  <si>
    <t>Licence puis master de chimie ou de chimie-biologie (ou école d'ingénieur chimie), doctorat en chimie organique / chimie biologique et post-doctorat à l'étranger, avant une carrière de chargé puis directeur de recherche (CNRS).</t>
  </si>
  <si>
    <t>Ingénieure d'études en biologie végétale (développement de la graine)</t>
  </si>
  <si>
    <t>Au sein d'une équipe de recherche sur la reproduction des plantes, met au point et réalise les expériences qui permettent de comprendre comment la graine grandit : culture des plantes, microscopie confocale, mesures de rigidité des parois par nanoindentation et analyse des données, au CNRS.</t>
  </si>
  <si>
    <t>Licence puis master de biologie végétale (après un parcours en filière technologique et un premier poste de technicienne de laboratoire), avant un poste d'ingénieure d'études en laboratoire de recherche.</t>
  </si>
  <si>
    <t>Cheffe d'équipe en biologie cellulaire du cancer (division cellulaire)</t>
  </si>
  <si>
    <t>Dirige une équipe qui étudie comment les cellules se divisent et prolifèrent : anomalies du nombre de centrosomes et de chromosomes (polyploïdie) à l'origine de cancers, dont le cancer de l'ovaire, et de maladies du développement du cerveau, sur drosophile, souris et cellules humaines, au CNRS (Institut Curie).</t>
  </si>
  <si>
    <t>Licence puis master de biologie, doctorat en biologie cellulaire et post-doctorat à l'étranger, avant un poste de chargée puis directrice de recherche et la direction d'une équipe (CNRS).</t>
  </si>
  <si>
    <t>Ingénieure d'études en expérimentation et instrumentation biologique</t>
  </si>
  <si>
    <t>Biologiste dans un laboratoire de physique et de bio-ingénierie : responsable d'une zone d'expérimentation biologique, elle met au point les techniques de culture cellulaire et de biologie moléculaire, notamment des modèles de neurones en 2D et 3D issus de cellules souches humaines cultivés sur des puces électroniques à nanofils, pour étudier la communication neuronale dans les maladies neurodégénératives, au CNRS.</t>
  </si>
  <si>
    <t>Licence puis master de biologie cellulaire / biotechnologies (ou école d'ingénieur), avant un poste d'ingénieure d'études sur une plateforme technologique de laboratoire (CNRS).</t>
  </si>
  <si>
    <t>Chercheur en biologie du cancer (cellules souches leucémiques)</t>
  </si>
  <si>
    <t>Déchiffre les mécanismes qui conduisent aux leucémies de l'enfant : identifie les cellules souches leucémiques responsables des rechutes, à l'aide de modèles de souris génétiquement modifiés et de greffes de cellules de patients, et crible des molécules candidates avec des chimistes, au CNRS (CRCT, unité mixte CNRS-Inserm).</t>
  </si>
  <si>
    <t>Licence puis master de biologie, doctorat en cancérologie et post-doctorat à l'étranger, avant le concours de chargé de recherche (CNRS).</t>
  </si>
  <si>
    <t>Ingénieur en calcul intensif — simulation atmosphérique</t>
  </si>
  <si>
    <t>Adapte les codes de simulation de l'atmosphère (modèle Méso-NH) aux supercalculateurs à cartes graphiques, pour décrire les nuages et les orages à très fine échelle et améliorer la prévision du temps, au CNRS.</t>
  </si>
  <si>
    <t>Porte les codes de simulation de l'atmosphère sur les supercalculateurs à cartes graphiques (calcul parallèle, GPU) et alimente des modèles d'IA pour accélérer la prévision météorologique, au CNRS.</t>
  </si>
  <si>
    <t>Chercheur en chimie biofonctionnelle (immunothérapies et diagnostic)</t>
  </si>
  <si>
    <t>Co-dirige une équipe qui conçoit des molécules donnant de nouvelles fonctions au système immunitaire : chimie contrôlée en milieu vivant, anticorps-médicaments ciblant les cellules cancéreuses, conservation des vaccins et diagnostic de l'état immunitaire, avec la création de plusieurs start-ups, au CNRS.</t>
  </si>
  <si>
    <t>Licence puis master de chimie (ou école d'ingénieur chimie), doctorat en chimie et post-doctorat aux États-Unis (chimie combinatoire), avant une carrière de chargé puis directeur de recherche (CNRS).</t>
  </si>
  <si>
    <t>Chercheur en neurosciences de la douleur</t>
  </si>
  <si>
    <t>Décrypte les mécanismes qui transforment une douleur aiguë en douleur chronique, notamment le rôle de la protéine TAFA4 sécrétée par certains neurones sensoriels, et a créé à partir de ces travaux une biotech développant une nouvelle classe d'antalgiques non opioïdes, au CNRS.</t>
  </si>
  <si>
    <t>Chercheur en physiologie du métabolisme et du comportement alimentaire</t>
  </si>
  <si>
    <t>Anime une équipe qui étudie comment le cerveau contrôle l'appétit et la balance énergétique : dialogue entre le cerveau et les organes, effet des lipides sur les circuits de la dopamine et le plaisir alimentaire, rôle des astrocytes dans l'obésité, au CNRS.</t>
  </si>
  <si>
    <t>Licence puis master de biologie, doctorat en neurosciences / physiologie et post-doctorat, avant un poste de chargé puis de directeur de recherche (CNRS).</t>
  </si>
  <si>
    <t>Chercheuse en biophysique cellulaire (cytosquelette d'actine)</t>
  </si>
  <si>
    <t>Étudie le squelette des cellules, en particulier les fibres d'actine qui s'assemblent et se désassemblent en permanence : reconstitue ces structures dynamiques à partir de protéines purifiées dans des micropuits (systèmes biomimétiques) pour comprendre comment elles se partagent des ressources limitées, au CNRS.</t>
  </si>
  <si>
    <t>Licence puis master de biologie / biophysique, doctorat et post-doctorat (prix L'Oréal-UNESCO Pour les femmes et la science), avant le concours de chargée de recherche (CNRS).</t>
  </si>
  <si>
    <t>Chercheuse en psychologie du développement</t>
  </si>
  <si>
    <t>Étudie comment les bébés et les jeunes enfants apprennent : observe les interactions des familles à domicile, en crèche et à l'école maternelle, et mène des expériences en laboratoire (Babylab) avec de l'électroencéphalographie, à la croisée des sciences humaines et de la biologie, au CNRS.</t>
  </si>
  <si>
    <t>Ingénieure experte en RMN (plateforme de biologie structurale)</t>
  </si>
  <si>
    <t>Gère une plateforme de résonance magnétique nucléaire (six spectromètres de 600 à 950 MHz) dédiée à l'analyse des protéines : met au point, réalise et interprète les analyses à résolution atomique pour des équipes académiques et industrielles venues du monde entier, au CNRS.</t>
  </si>
  <si>
    <t>Master ou école d'ingénieur en chimie analytique / physico-chimie, avec une expérience en industrie avant un poste d'ingénieure sur une plateforme analytique de recherche (CNRS).</t>
  </si>
  <si>
    <t>Ingénieur de recherche en expression acellulaire des protéines</t>
  </si>
  <si>
    <t>Pilote une plateforme de production de protéines sans cellules (cell-free) : associe la machinerie de transcription-traduction de bactéries à des sources d'énergie et d'acides aminés pour synthétiser des protéines in vitro en quelques heures, dont des protéines marquées pour la RMN, et forme les équipes à cette technologie, au CNRS.</t>
  </si>
  <si>
    <t>Master de biologie / biochimie puis poste d'ingénieur, avec un doctorat préparé à mi-temps en cours d'emploi et le concours interne d'ingénieur de recherche (CNRS).</t>
  </si>
  <si>
    <t>Ingénieure de recherche en immuno-hématologie, directrice de plateformes technologiques</t>
  </si>
  <si>
    <t>A mis au point des modèles d'étude des lymphomes et coordonné les essais précliniques d'un nouveau radiomédicament contre le lymphome et le myélome, avant de diriger une unité d'appui à la recherche qui mutualise les plateformes technologiques d'imagerie et d'analyse au service des laboratoires de biologie-santé, au CNRS.</t>
  </si>
  <si>
    <t>Formation d'ingénieure puis doctorat et post-doctorat en hématologie et immunologie, avant la direction d'une unité d'appui à la recherche (médaille de cristal du CNRS).</t>
  </si>
  <si>
    <t>Ingénieur en géochimie isotopique (spectrométrie de masse)</t>
  </si>
  <si>
    <t>Mesure les isotopes du carbone, de l'azote, de l'oxygène et du soufre dans des minéraux, des fossiles ou des restes archéologiques pour en retrouver l'origine et reconstituer climats, atmosphères et modes de vie anciens ; met au point, améliore et entretient les spectromètres et forme leurs utilisateurs, au CNRS.</t>
  </si>
  <si>
    <t>Master puis doctorat en géochimie isotopique, avec quinze ans en entreprise (laboratoire privé et fabricant d'instruments) avant un poste d'ingénieur sur une plateforme analytique de recherche.</t>
  </si>
  <si>
    <t>Cheffe d'équipe en biologie du développement de la graine</t>
  </si>
  <si>
    <t>Dirige une équipe qui cherche à comprendre comment se forme une graine : dialogue entre la plante mère, l'embryon et l'albumen, mise en place des barrières comme la cuticule embryonnaire et circulation des nutriments, à l'aide de la génétique moléculaire et de la microscopie, au CNRS.</t>
  </si>
  <si>
    <t>Licence de sciences naturelles puis doctorat en biologie végétale et post-doctorat à l'étranger, avant de diriger sa propre équipe de recherche (CNRS).</t>
  </si>
  <si>
    <t>Chercheuse en génétique des plantes hybrides</t>
  </si>
  <si>
    <t>Étudie ce qui se passe quand deux génomes d'espèces différentes se rencontrent dans une même plante hybride (comme le blé ou le colza) : échanges de matériel génétique entre sous-génomes, baisse puis retour de la fertilité, par génétique, cytologie, séquençage à haut débit et bioinformatique, au CNRS.</t>
  </si>
  <si>
    <t>Licence puis master de biologie et génétique, doctorat et post-doctorat, avant un poste de chercheuse mêlant recherche, enseignement et encadrement de doctorants.</t>
  </si>
  <si>
    <t>Chercheur en nanotechnologies ADN (programmation moléculaire)</t>
  </si>
  <si>
    <t>Programme des réseaux de réactions biochimiques qui utilisent l'ADN comme support d'information, à l'interface entre biologie moléculaire et sciences informatiques : reproduit des comportements du vivant (oscillateurs biochimiques) et conçoit des tests de diagnostic moléculaire en gouttelettes microfluidiques pour mesurer des biomarqueurs de cancers ou de maladies neurodégénératives, au CNRS (ESPCI Paris).</t>
  </si>
  <si>
    <t>Ingénieur de recherche en biologie moléculaire (conception d'outils pour la recherche)</t>
  </si>
  <si>
    <t>Conçoit des outils moléculaires sur mesure — fragments d'ADN produits par des bactéries, vecteurs viraux, protéines fluorescentes exprimées dans un type cellulaire précis — pour étudier l'organisation nanostructurale du cytosquelette des neurones en microscopie de super-résolution (STORM) ; développe en parallèle des applications informatiques et bases de données pour la recherche, dont LiCoRNE, outil de suivi des compétences réglementaires en expérimentation animale, au CNRS (Institut de neurophysiopathologie, Marseille).</t>
  </si>
  <si>
    <t>Chercheuse en physico-chimie de l'atmosphère (aérosols et climat)</t>
  </si>
  <si>
    <t>Étudie la formation des particules fines (aérosols) dans la troposphère libre, en particulier au-dessus des océans, et leur rôle dans la formation des nuages : détecte et compte les particules dès l'échelle du nanomètre, analyse leur composition chimique par spectrométrie de masse lors de campagnes de terrain en altitude (observatoire du Maïdo, La Réunion), puis traduit ces résultats en équations intégrées à un modèle atmosphérique pour améliorer les projections climatiques, au CNRS.</t>
  </si>
  <si>
    <t>Directrice de recherche en biologie structurale des ARN</t>
  </si>
  <si>
    <t>Étudie comment un ARN acquiert sa structure et sa fonction au cours de sa maturation — coupures de la séquence, modifications chimiques des nucléotides par des enzymes, repliement assisté par des protéines — et comment un défaut de ces étapes peut conduire à des maladies humaines ; combine biochimie, génétique et biologie structurale (spectroscopie RMN, cristallographie aux rayons X, cryo-microscopie électronique) et assure la direction adjointe de son institut, au CNRS (Institut de biologie physico-chimique, Paris).</t>
  </si>
  <si>
    <t>Maîtrise de physique fondamentale, découverte de la RMN en stage, puis doctorat et carrière de recherche en biologie structurale (CNRS).</t>
  </si>
  <si>
    <t>Chercheuse en génétique des populations (évolution humaine et microbiote)</t>
  </si>
  <si>
    <t>Étudie l'ADN des humains et celui de leurs microbiotes pour comprendre comment les modes de vie et l'environnement façonnent le vivant : adaptation des éleveurs d'Asie centrale à la consommation de lait animal, comparaison des microbiotes intestinaux de populations rurales et urbaines au Cameroun, effets de l'urbanisation sur la diversité génétique (souris, babouins) ; collecte d'échantillons sur le terrain, extraction et séquençage de l'ADN puis analyse des données génétiques, au CNRS (Laboratoire de biométrie et biologie évolutive, Lyon).</t>
  </si>
  <si>
    <t>Doctorat en génétique des populations (thèse au Musée de l'Homme, Paris), puis carrière de recherche au CNRS.</t>
  </si>
  <si>
    <t>Ingénieur de recherche en métrologie de la radioactivité dans l'environnement</t>
  </si>
  <si>
    <t>Mesure et identifie les éléments radioactifs présents dans l'environnement : prépare les échantillons (séchage, broyage fin, conditionnement dans une géométrie calibrée) puis les analyse par spectrométrie gamma en bas bruit de fond, sous un blindage de plomb archéologique ; participe à l'étude des fûts de déchets radioactifs immergés à plus de 5 000 m de fond dans l'Atlantique nord-est — conception des pièges à poissons abyssaux, campagne d'un mois avec la flotte océanographique française, quantification des radionucléides et évaluation des doses reçues par les organismes — au CNRS.</t>
  </si>
  <si>
    <t>Classes préparatoires puis école d'ingénieur, avant une carrière en recherche académique et dans l'industrie sur la mesure de la radioactivité.</t>
  </si>
  <si>
    <t>Chercheur en sciences cognitives (navigation spatiale et détection précoce d'Alzheimer)</t>
  </si>
  <si>
    <t>Étudie la navigation spatiale — l'une des premières fonctions cognitives altérées par la maladie d'Alzheimer, parfois plus de dix ans avant les symptômes classiques — pour en faire un outil de diagnostic précoce : a conçu Sea Hero Quest, jeu vidéo de labyrinthes aquatiques qui a permis de collecter, par science citoyenne, les trajectoires de 4 millions de joueurs de 18 à 99 ans dans le monde entier ; entraîne des réseaux de neurones profonds à y reconnaître des stratégies de navigation types et compare ces profils à ceux de patients, avec des gériatres et des neurologues, au CNRS (LIRIS, Lyon).</t>
  </si>
  <si>
    <t>Doctorat (Grenoble) puis post-doctorat à l'étranger (University College London), avant un poste de chercheur au CNRS.</t>
  </si>
  <si>
    <t>Chercheur en biologie structurale des moteurs moléculaires (myosines)</t>
  </si>
  <si>
    <t>Étudie les myosines, moteurs moléculaires qui produisent force et mouvement dans les cellules en interagissant avec les filaments d'actine : décrypte le fonctionnement de la myosine cardiaque, dont les défauts provoquent des cardiomyopathies (environ une personne sur 500), et celui de la myosine du parasite Plasmodium falciparum, essentielle à l'infection responsable du paludisme — des travaux qui ont permis, avec une entreprise pharmaceutique, d'identifier une molécule capable de l'inhiber, au CNRS (équipe Motilité structurale, unité Biologie cellulaire et cancer).</t>
  </si>
  <si>
    <t>Chercheur en immunologie intestinale, chef d'équipe (microbiote et inflammation)</t>
  </si>
  <si>
    <t>Dirige une équipe qui étudie le dialogue entre les microbes, la barrière intestinale et le système immunitaire, lors d'infections, de maladies inflammatoires chroniques de l'intestin (MICI) et de la réparation des tissus : a montré, sur des modèles de souris, des modèles humains et des organoïdes — de petits intestins cultivés in vitro — que l'interféron lambda, molécule antivirale surexprimée au cours des MICI, nuit à la réparation de la muqueuse, ce qui en fait une cible thérapeutique potentielle ; travaille aussi sur l'influence de souches bactériennes sur l'écologie du microbiote et sur la fibrose, au CNRS (Centre d'immunologie de Marseille-Luminy).</t>
  </si>
  <si>
    <t>Chercheuse en biologie des tumeurs cérébrales (glioblastomes), codirectrice d'équipe</t>
  </si>
  <si>
    <t>Étudie les glioblastomes, tumeurs cérébrales les plus fréquentes et les plus agressives chez l'adulte, pour lesquelles il n'existe pas de traitement curatif : cherche à franchir la barrière hémato-encéphalique qui bloque l'arrivée des molécules thérapeutiques, à « renormaliser » le microenvironnement de la tumeur pour qu'il travaille contre elle, et à cibler les protéines inhibitrices de l'apoptose qui empêchent les cellules cancéreuses de mourir ; mène une recherche fondamentale et translationnelle, en lien avec des associations de patients, au CNRS (Institut de neurophysiopathologie, Marseille).</t>
  </si>
  <si>
    <t>Doctorat sur les cellules souches cancéreuses des tumeurs cérébrales, puis carrière de chercheuse au CNRS.</t>
  </si>
  <si>
    <t>Chercheur en neurosciences — interactions neurogliales de la moelle épinière</t>
  </si>
  <si>
    <t>Étudie le dialogue entre les neurones et les cellules gliales, en particulier les astrocytes, dans la moelle épinière, et son rôle dans la sensorimotricité : a montré chez la souris qu'après une lésion médullaire les astrocytes changent de forme, s'acidifient et libèrent des marqueurs pro-inflammatoires, ce qui rend les réseaux neuronaux hyperexcitables et provoque la spasticité ; en ciblant une protéine des astrocytes, son équipe a réduit l'excitabilité des motoneurones et les spasmes, au CNRS (Institut de neurosciences de la Timone, Marseille).</t>
  </si>
  <si>
    <t>Chercheuse en biophysique du développement (morphogenèse et organoïdes)</t>
  </si>
  <si>
    <t>Cherche à comprendre par quelles forces physiques des assemblées de cellules s'auto-organisent pour former des organes : cultive des organoïdes embryonnaires (gastruloïdes), petits tissus fabriqués au laboratoire qui reproduisent certaines étapes du développement d'un embryon de mammifère, et met au point des protocoles de microscopie à fluorescence pour les imager vivants en 3D ; a montré que l'allongement de ces tissus le long de l'axe tête-pied naît d'une variation d'expression génétique entre cellules, au CNRS (Institut de biologie du développement de Marseille).</t>
  </si>
  <si>
    <t>Ingénieur de recherche en microbiologie (stress oxydant bactérien)</t>
  </si>
  <si>
    <t>Étudie comment les bactéries (Escherichia coli, Salmonella typhimurium) subissent le stress oxydant et s'en défendent : s'intéresse à l'oxydation des méthionines des protéines dans l'espace périplasmique et au système de réparation MsrP ; a découvert que ce système est activé en l'absence d'oxygène par le chlorate, un contaminant fréquent des eaux et des procédés industriels de lavage, et en a tiré un biosenseur bactérien coloré qui détecte ce composé, protégé par un brevet, au CNRS (Laboratoire de chimie bactérienne, Marseille).</t>
  </si>
  <si>
    <t>Chercheur en physico-chimie de la matière molle (cellules artificielles)</t>
  </si>
  <si>
    <t>Assemble des cellules artificielles pour comprendre comment des molécules s'auto-organisent et comment on passe de la matière inerte à la matière vivante : fabrique des coacervats, micro-gouttelettes qui se forment spontanément dans l'eau par séparation de phases entre polymères, y fait se dérouler des réactions chimiques et enzymatiques, les rend sensibles à la lumière et les stabilise par des membranes ; applications envisagées en délivrance de médicaments et en dépollution, au CNRS (Centre de recherche Paul Pascal, Bordeaux).</t>
  </si>
  <si>
    <t>Études à l'ESPCI, thèse à l'ENS (Paris) puis recherche à l'université de Bristol, avant un poste de chercheur au CNRS.</t>
  </si>
  <si>
    <t>Parfums, cosmétiques &amp; arômes</t>
  </si>
  <si>
    <t>Parfums &amp; Arômes</t>
  </si>
  <si>
    <t>BTS/BUT chimie ou biologie, licences de chimie, écoles de parfumerie (ISIPCA, Grasse Institute of Perfumery)</t>
  </si>
  <si>
    <t>Parfumeur créateur, producteur de plantes à parfum et fondateur de maison de parfum</t>
  </si>
  <si>
    <t>Licence (BA) à l'université de Bristol, puis École de parfumerie Givaudan.</t>
  </si>
  <si>
    <t>Opérateur de production — extraction et distillation de matières premières naturelles</t>
  </si>
  <si>
    <t>Formation sur le terrain, directement en entreprise.</t>
  </si>
  <si>
    <t>Chef de production — atelier des absolues (extraction par solvant)</t>
  </si>
  <si>
    <t>Métier appris en entreprise, transmis par les anciens de l'atelier.</t>
  </si>
  <si>
    <t>Chef de production distillation</t>
  </si>
  <si>
    <t>Bac puis deux ans de formation de technicien chimiste.</t>
  </si>
  <si>
    <t>Chef d'équipe production parfumerie</t>
  </si>
  <si>
    <t>Évolution interne, après plusieurs années en production.</t>
  </si>
  <si>
    <t>Référent production arômes alimentaires</t>
  </si>
  <si>
    <t>Accessible sans diplôme spécifique, formation au poste en entreprise.</t>
  </si>
  <si>
    <t>Préparateur en parfumerie</t>
  </si>
  <si>
    <t>Aucune formation spécifique : arrivé par l'intérim (après des études de commerce) puis formé au poste.</t>
  </si>
  <si>
    <t>Technicien·ne contrôle qualité en parfumerie</t>
  </si>
  <si>
    <t>BTS/BUT chimie ou biologie ; stages et alternance vivement conseillés pour découvrir le métier.</t>
  </si>
  <si>
    <t>Chargée de mission QHSE (qualité, hygiène, sécurité, environnement)</t>
  </si>
  <si>
    <t>Cursus QHSE à l'université de Toulon.</t>
  </si>
  <si>
    <t>Technicienne application en arômes alimentaires</t>
  </si>
  <si>
    <t>Met en valeur les arômes alimentaires en les incorporant dans des matrices et des recettes : à partir d'un brief d'un aromaticien ou d'un client, vérifie la disponibilité des matières premières, développe la recette, puis suit le produit dans le temps avec les outils du laboratoire (pH-mètre, réfrigérateurs, étuves pour tester le vieillissement) et fait appel à un panel sensoriel pour anticiper la perception des consommateurs.</t>
  </si>
  <si>
    <t>BTS/BUT bio-analyses ou agroalimentaire.</t>
  </si>
  <si>
    <t>Assistant·e parfumeur / aromaticien·ne</t>
  </si>
  <si>
    <t>Formation de préparateur en parfumerie à Grasse (ASFO, Prodarom) ; ici après des études de droit.</t>
  </si>
  <si>
    <t>Technicienne extraction en recherche et développement</t>
  </si>
  <si>
    <t>BTS/BUT chimie ou bio-analyses.</t>
  </si>
  <si>
    <t>Parfumeur·se senior en maison de composition</t>
  </si>
  <si>
    <t>Bac scientifique, licence de chimie à l'université, puis master de parfumerie.</t>
  </si>
  <si>
    <t>Responsable du laboratoire applications (parfums et produits finis)</t>
  </si>
  <si>
    <t>Maîtrise de chimie avec spécialisation en formulation cosmétique.</t>
  </si>
  <si>
    <t>Responsable évaluation (évaluateur·rice en parfumerie)</t>
  </si>
  <si>
    <t>Licence de chimie à l'université, puis master formulation et évaluation à l'ISIPCA, en apprentissage.</t>
  </si>
  <si>
    <t>Directrice d'un pôle évaluation en parfumerie</t>
  </si>
  <si>
    <t>Études scientifiques, puis ISIPCA (Versailles).</t>
  </si>
  <si>
    <t>Parfumeur·se en fine fragrance, vice-présidente création</t>
  </si>
  <si>
    <t>Responsable de la science du consommateur (perception, émotions et bien-être)</t>
  </si>
  <si>
    <t>Doctorat en psychologie.</t>
  </si>
  <si>
    <t>Aromaticien·ne (formulation d'arômes alimentaires)</t>
  </si>
  <si>
    <t>Bac général, licence de chimie, puis master formulation et analyse sensorielle spécialisé en aromatique alimentaire (ISIPCA, Versailles), en alternance.</t>
  </si>
  <si>
    <t>Crée des parfums pour une maison de composition, cultive ses plantes à parfum sur une ferme biologique près de Grasse et dirige sa propre marque : une démarche « du champ au flacon ».</t>
  </si>
  <si>
    <t>Conduit les distillations, par vapeur ou par solvant, de matières naturelles — benjoin, fève tonka, immortelle, foin — destinées à la parfumerie et à l'alimentaire.</t>
  </si>
  <si>
    <t>Encadre un atelier d'absolues : transforme les concrètes florales par extraction au solvant et fabrique des résinoïdes (benjoin, maté, gommes, baumes), en réajustant chaque lot.</t>
  </si>
  <si>
    <t>Conduit la distillation de matières naturelles (ambrette, citron) et encadre la production, en horaires postés, avec un produit différent presque chaque jour.</t>
  </si>
  <si>
    <t>Encadre et forme une équipe de production en sachant tenir chaque poste : robots de pesée, préparation des mélanges, conditionnement et expéditions.</t>
  </si>
  <si>
    <t>Pèse et conditionne des arômes alimentaires et supervise son équipe : organisation du travail, respect du process et des normes, liaison entre équipes, en horaires postés.</t>
  </si>
  <si>
    <t>Fabrique les compositions à partir des ordres de fabrication, comme une recette : scanne chaque matière, la pèse dans la fourchette imposée et valide informatiquement.</t>
  </si>
  <si>
    <t>Contrôle matières premières et compositions finales par chromatographie, olfaction, mesures physico-chimiques et colorimétrie, et garantit la conformité des produits livrés.</t>
  </si>
  <si>
    <t>Veille à la conformité qualité, hygiène, sécurité et environnement : analyse la réglementation, en tire des plans d'action, suit fournisseurs, stockage et produits dangereux.</t>
  </si>
  <si>
    <t>Incorpore les arômes dans des recettes pour les mettre en valeur : développe la formule sur brief, suit le vieillissement (étuves, pH-mètre) et fait appel à un panel sensoriel.</t>
  </si>
  <si>
    <t>Pèse les projets des parfumeurs — jusqu'à une centaine de matières premières — avec un robot pour les dosages les plus complexes, puis complète les essais à la main.</t>
  </si>
  <si>
    <t>Met au point l'extraction de matières naturelles (fleurs, graines, bois, fruits, gommes) pour en tirer des extraits concentrés, évalués par les parfumeurs avant industrialisation.</t>
  </si>
  <si>
    <t>Crée les odeurs des produits de marques clientes : eaux de toilette, cosmétiques et parfums d'ambiance (bougies, sprays), avec un apprentissage permanent des molécules.</t>
  </si>
  <si>
    <t>Teste, adapte et optimise les parfums dans le produit fini — cosmétique, hygiène, ambiance, ménager — en développant la formule complète, sous contraintes réglementaires.</t>
  </si>
  <si>
    <t>Évalue les essais des parfumeurs sur mouillette, base cosmétique ou bougie, ainsi qu'en cabine d'olfaction, sur peau et sur tissu ; encadre l'équipe d'évaluation.</t>
  </si>
  <si>
    <t>Traduit en langage olfactif l'histoire que la marque veut raconter et accompagne le parfumeur tout au long du développement : double expertise olfactive et marché.</t>
  </si>
  <si>
    <t>Crée des parfums de haute parfumerie et dirige une équipe de création ; voit dans l'IA un outil, la créativité consistant à chercher les signaux faibles, pas la moyenne.</t>
  </si>
  <si>
    <t>Mesure la perception des parfums chez les consommateurs : questionnaires, mesures physiologiques, neuro-imagerie et intelligence artificielle, pour relier ingrédients, émotions et bien-être.</t>
  </si>
  <si>
    <t>Formule les arômes alimentaires : goûte, évalue et ajuste sa palette d'ingrédients jusqu'au profil voulu — fraise florale, beurre noisette, menthe pour boisson.</t>
  </si>
  <si>
    <t>Responsable des affaires réglementaires et HSE (industrie chimique)</t>
  </si>
  <si>
    <t>Assure la conformité réglementaire de produits chimiques, du développement à la fin de vie : dangers et impacts, autorisations de mise sur le marché, étiquetage et conditions d'usage sûres.</t>
  </si>
  <si>
    <t>Bac scientifique, diplôme de génie de l'environnement puis formation en sûreté des systèmes industriels (niveau master).</t>
  </si>
  <si>
    <t>Producteur·rice de fleurs à parfum</t>
  </si>
  <si>
    <t>Cultive jasmin, rose de mai et tubéreuse pour la parfumerie : prépare le terrain, plante, butte, taille et attache les pieds toute l'année, puis cueille les fleurs à la main, chacune à son heure.</t>
  </si>
  <si>
    <t>Ouvert à tous ; un stage à la chambre d'agriculture est nécessaire pour s'installer comme exploitant agricole.</t>
  </si>
  <si>
    <t>Chargé·e d'analyse sensorielle, animateur·rice de panel</t>
  </si>
  <si>
    <t>Mesure comment un produit est perçu : recueille les données des tests sensoriels (goût, odeur, texture, aspect), entraîne chaque semaine un panel de dégustateurs pour le rendre consensuel et trace des profils sensoriels.</t>
  </si>
  <si>
    <t>Master 2 d'évaluation sensorielle, dernière année en alternance.</t>
  </si>
  <si>
    <t>Producteur·rice de plantes à parfum, aromatiques et médicinales (PPAM)</t>
  </si>
  <si>
    <t>Cultive une cinquantaine d'espèces de plantes médicinales sur 300 hectares pour la santé, la beauté et le bien-être ; cherche des alternatives au désherbage chimique, comme le désherbage robotisé.</t>
  </si>
  <si>
    <t>Formations agricoles (bac pro, BTSA productions végétales) et installation comme exploitant agricole.</t>
  </si>
  <si>
    <t>Sourceur·se de matières premières en parfumerie</t>
  </si>
  <si>
    <t>Parcourt le monde à la recherche de nouvelles matières premières — bois, racines, fleurs, feuilles — et les fait transformer en extraits pour les parfumeurs des grandes maisons ; crée aussi des parfums sur mesure.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</si>
</sst>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3" x14ac:knownFonts="1">
    <font>
      <sz val="11"/>
      <color theme="1"/>
      <name val="Trebuchet MS"/>
      <scheme val="minor"/>
    </font>
    <font>
      <sz val="11"/>
      <color theme="1"/>
      <name val="Trebuchet MS"/>
    </font>
    <font>
      <sz val="14"/>
      <color rgb="FF929292"/>
      <name val="Trebuchet MS"/>
    </font>
    <font>
      <sz val="11"/>
      <color rgb="FF464646"/>
      <name val="Trebuchet MS"/>
    </font>
    <font>
      <sz val="12"/>
      <color rgb="FF5C5C5C"/>
      <name val="Trebuchet MS"/>
    </font>
    <font>
      <b/>
      <sz val="12"/>
      <color rgb="FF5C5C5C"/>
      <name val="Trebuchet MS"/>
    </font>
    <font>
      <sz val="14"/>
      <color rgb="FF5C5C5C"/>
      <name val="Trebuchet MS"/>
    </font>
    <font>
      <sz val="11"/>
      <color rgb="FF5C5C5C"/>
      <name val="Trebuchet MS"/>
    </font>
    <font>
      <b/>
      <sz val="18"/>
      <color rgb="FFFFFFFF"/>
      <name val="Arial"/>
    </font>
    <font>
      <i/>
      <sz val="10"/>
      <color rgb="FFFFFFFF"/>
      <name val="Arial"/>
    </font>
    <font>
      <b/>
      <sz val="13"/>
      <color rgb="FFFFFFFF"/>
      <name val="Arial"/>
    </font>
    <font>
      <b/>
      <sz val="10"/>
      <color rgb="FF1F4E79"/>
      <name val="Arial"/>
    </font>
    <font>
      <sz val="10"/>
      <color rgb="FF404040"/>
      <name val="Arial"/>
    </font>
    <font>
      <b/>
      <sz val="10"/>
      <color rgb="FFE53935"/>
      <name val="Arial"/>
    </font>
    <font>
      <i/>
      <sz val="10"/>
      <color rgb="FF888888"/>
      <name val="Arial"/>
    </font>
    <font>
      <i/>
      <sz val="10"/>
      <color rgb="FF999999"/>
      <name val="Arial"/>
    </font>
    <font>
      <i/>
      <sz val="8"/>
      <color rgb="FFAAAAAA"/>
      <name val="Arial"/>
    </font>
    <font>
      <b/>
      <sz val="20"/>
      <color rgb="FF1F4E79"/>
      <name val="Arial"/>
    </font>
    <font>
      <b/>
      <sz val="10"/>
      <color rgb="FFFFFFFF"/>
      <name val="Arial"/>
    </font>
    <font>
      <b/>
      <sz val="13"/>
      <color rgb="FFFFFFFF"/>
      <name val="Arial"/>
    </font>
    <font>
      <sz val="10"/>
      <color rgb="FFFFFFFF"/>
      <name val="Arial"/>
    </font>
    <font>
      <sz val="11"/>
      <color rgb="FF404040"/>
      <name val="Arial"/>
    </font>
    <font>
      <i/>
      <sz val="10"/>
      <color rgb="FFCCCCCC"/>
      <name val="Arial"/>
    </font>
    <font>
      <sz val="9"/>
      <color rgb="FF1A5C35"/>
      <name val="Arial"/>
    </font>
    <font>
      <sz val="9"/>
      <color rgb="FF0D6B6B"/>
      <name val="Arial"/>
    </font>
    <font>
      <sz val="9"/>
      <color rgb="FF3730A3"/>
      <name val="Arial"/>
    </font>
    <font>
      <i/>
      <u/>
      <sz val="9"/>
      <color rgb="FF2E75B6"/>
      <name val="Arial"/>
    </font>
    <font>
      <b/>
      <sz val="16"/>
      <color rgb="FFFFFFFF"/>
      <name val="Arial"/>
    </font>
    <font>
      <i/>
      <sz val="10"/>
      <color rgb="FFFFFFFF"/>
      <name val="Arial"/>
    </font>
    <font>
      <b/>
      <sz val="10"/>
      <color rgb="FF2E75B6"/>
      <name val="Arial"/>
    </font>
    <font>
      <i/>
      <sz val="8"/>
      <color rgb="FF888888"/>
      <name val="Arial"/>
    </font>
    <font>
      <sz val="9"/>
      <color rgb="FFFFFFFF"/>
      <name val="Arial"/>
    </font>
    <font>
      <sz val="9"/>
      <color rgb="FF1A5C35"/>
      <name val="Arial"/>
    </font>
    <font>
      <i/>
      <sz val="9"/>
      <color rgb="FF3D4A5C"/>
      <name val="Arial"/>
    </font>
    <font>
      <sz val="10"/>
      <color theme="1"/>
      <name val="Arial"/>
    </font>
    <font>
      <b/>
      <sz val="11"/>
      <color rgb="FFFFFFFF"/>
      <name val="Arial"/>
    </font>
    <font>
      <u/>
      <sz val="11"/>
      <color theme="10"/>
      <name val="Trebuchet MS"/>
      <scheme val="minor"/>
    </font>
    <font>
      <u/>
      <sz val="11"/>
      <color rgb="FF0563C1"/>
      <name val="Trebuchet MS"/>
      <scheme val="minor"/>
    </font>
    <font>
      <b/>
      <sz val="11"/>
      <name val="Trebuchet MS"/>
    </font>
    <font>
      <sz val="9"/>
      <color indexed="81"/>
      <name val="Tahoma"/>
      <charset val="1"/>
    </font>
    <font>
      <b/>
      <sz val="9"/>
      <color indexed="81"/>
      <name val="Tahoma"/>
      <charset val="1"/>
    </font>
    <font>
      <sz val="11"/>
      <color rgb="FF262626"/>
      <name val="Trebuchet MS"/>
    </font>
    <font>
      <sz val="11"/>
      <color rgb="FF262626"/>
      <name val="Trebuchet MS"/>
      <scheme val="minor"/>
    </font>
  </fonts>
  <fills count="44">
    <fill>
      <patternFill patternType="none"/>
    </fill>
    <fill>
      <patternFill patternType="gray125"/>
    </fill>
    <fill>
      <patternFill patternType="solid">
        <fgColor rgb="FFF5F9FF"/>
        <bgColor rgb="FFF5F9FF"/>
      </patternFill>
    </fill>
    <fill>
      <patternFill patternType="solid">
        <fgColor rgb="FFFFFFFF"/>
        <bgColor rgb="FFFFFFFF"/>
      </patternFill>
    </fill>
    <fill>
      <patternFill patternType="solid">
        <fgColor rgb="FF1F4E79"/>
      </patternFill>
    </fill>
    <fill>
      <patternFill patternType="solid">
        <fgColor rgb="FF2E75B6"/>
      </patternFill>
    </fill>
    <fill>
      <patternFill patternType="solid">
        <fgColor rgb="FFF0F7FF"/>
      </patternFill>
    </fill>
    <fill>
      <patternFill patternType="solid">
        <fgColor rgb="FFE8F5EE"/>
      </patternFill>
    </fill>
    <fill>
      <patternFill patternType="solid">
        <fgColor rgb="FF1A5C35"/>
      </patternFill>
    </fill>
    <fill>
      <patternFill patternType="solid">
        <fgColor rgb="FFFFFFFF"/>
      </patternFill>
    </fill>
    <fill>
      <patternFill patternType="solid">
        <fgColor rgb="FF217A46"/>
      </patternFill>
    </fill>
    <fill>
      <patternFill patternType="solid">
        <fgColor rgb="FFFFF8E1"/>
      </patternFill>
    </fill>
    <fill>
      <patternFill patternType="solid">
        <fgColor rgb="FFC55A11"/>
      </patternFill>
    </fill>
    <fill>
      <patternFill patternType="solid">
        <fgColor rgb="FFFFF8F2"/>
      </patternFill>
    </fill>
    <fill>
      <patternFill patternType="solid">
        <fgColor rgb="FFE53935"/>
      </patternFill>
    </fill>
    <fill>
      <patternFill patternType="solid">
        <fgColor rgb="FFFFF3F3"/>
      </patternFill>
    </fill>
    <fill>
      <patternFill patternType="solid">
        <fgColor rgb="FF888888"/>
      </patternFill>
    </fill>
    <fill>
      <patternFill patternType="solid">
        <fgColor rgb="FFF8F8F8"/>
      </patternFill>
    </fill>
    <fill>
      <patternFill patternType="solid">
        <fgColor rgb="FFF5F9FF"/>
      </patternFill>
    </fill>
    <fill>
      <patternFill patternType="solid">
        <fgColor rgb="FF1F4E79"/>
      </patternFill>
    </fill>
    <fill>
      <patternFill patternType="solid">
        <fgColor rgb="FF7B2D8B"/>
      </patternFill>
    </fill>
    <fill>
      <patternFill patternType="solid">
        <fgColor rgb="FFC55A11"/>
      </patternFill>
    </fill>
    <fill>
      <patternFill patternType="solid">
        <fgColor rgb="FF1A5C35"/>
      </patternFill>
    </fill>
    <fill>
      <patternFill patternType="solid">
        <fgColor rgb="FF0D6B6B"/>
      </patternFill>
    </fill>
    <fill>
      <patternFill patternType="solid">
        <fgColor rgb="FF3730A3"/>
      </patternFill>
    </fill>
    <fill>
      <patternFill patternType="solid">
        <fgColor rgb="FF2E75B6"/>
      </patternFill>
    </fill>
    <fill>
      <patternFill patternType="solid">
        <fgColor rgb="FF217A46"/>
      </patternFill>
    </fill>
    <fill>
      <patternFill patternType="solid">
        <fgColor rgb="FFF0F7FF"/>
      </patternFill>
    </fill>
    <fill>
      <patternFill patternType="solid">
        <fgColor rgb="FFE8F5EE"/>
      </patternFill>
    </fill>
    <fill>
      <patternFill patternType="solid">
        <fgColor rgb="FFE0F4F4"/>
      </patternFill>
    </fill>
    <fill>
      <patternFill patternType="solid">
        <fgColor rgb="FFEEF2FF"/>
      </patternFill>
    </fill>
    <fill>
      <patternFill patternType="solid">
        <fgColor rgb="FF356859"/>
      </patternFill>
    </fill>
    <fill>
      <patternFill patternType="solid">
        <fgColor rgb="FFEAF2EE"/>
      </patternFill>
    </fill>
    <fill>
      <patternFill patternType="solid">
        <fgColor rgb="FF1F4E79"/>
        <bgColor indexed="64"/>
      </patternFill>
    </fill>
    <fill>
      <patternFill patternType="solid">
        <fgColor rgb="FFD9E1F2"/>
        <bgColor indexed="64"/>
      </patternFill>
    </fill>
    <fill>
      <patternFill patternType="solid">
        <fgColor rgb="FFFFFFFF"/>
        <bgColor indexed="64"/>
      </patternFill>
    </fill>
    <fill>
      <patternFill patternType="solid">
        <fgColor rgb="FFF2F2F2"/>
        <bgColor indexed="64"/>
      </patternFill>
    </fill>
    <fill>
      <patternFill patternType="solid">
        <fgColor rgb="FF2E75B6"/>
        <bgColor indexed="64"/>
      </patternFill>
    </fill>
    <fill>
      <patternFill patternType="solid">
        <fgColor rgb="FF7B2D8B"/>
        <bgColor indexed="64"/>
      </patternFill>
    </fill>
    <fill>
      <patternFill patternType="solid">
        <fgColor rgb="FFC55A11"/>
        <bgColor indexed="64"/>
      </patternFill>
    </fill>
    <fill>
      <patternFill patternType="solid">
        <fgColor rgb="FFEBF3FB"/>
        <bgColor indexed="64"/>
      </patternFill>
    </fill>
    <fill>
      <patternFill patternType="solid">
        <fgColor rgb="FFF0F7FF"/>
        <bgColor indexed="64"/>
      </patternFill>
    </fill>
    <fill>
      <patternFill patternType="solid">
        <fgColor rgb="FFEAF2EE"/>
        <bgColor indexed="64"/>
      </patternFill>
    </fill>
    <fill>
      <patternFill patternType="solid">
        <fgColor rgb="FFFFF2CC"/>
      </patternFill>
    </fill>
  </fills>
  <borders count="31">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1F4E79"/>
      </left>
      <right style="thin">
        <color rgb="FF1F4E79"/>
      </right>
      <top style="thin">
        <color rgb="FF1F4E79"/>
      </top>
      <bottom style="thin">
        <color rgb="FF1F4E79"/>
      </bottom>
      <diagonal/>
    </border>
    <border>
      <left/>
      <right/>
      <top/>
      <bottom style="medium">
        <color rgb="FF1F4E79"/>
      </bottom>
      <diagonal/>
    </border>
    <border>
      <left style="thin">
        <color rgb="FFBDD7EE"/>
      </left>
      <right style="thin">
        <color rgb="FFBDD7EE"/>
      </right>
      <top style="thin">
        <color rgb="FFBDD7EE"/>
      </top>
      <bottom style="thin">
        <color rgb="FFBDD7EE"/>
      </bottom>
      <diagonal/>
    </border>
    <border>
      <left style="thin">
        <color rgb="FFDDDDDD"/>
      </left>
      <right style="thin">
        <color rgb="FFDDDDDD"/>
      </right>
      <top style="thin">
        <color rgb="FFDDDDDD"/>
      </top>
      <bottom style="thin">
        <color rgb="FFDDDDDD"/>
      </bottom>
      <diagonal/>
    </border>
    <border>
      <left style="thin">
        <color rgb="FFA8D5B5"/>
      </left>
      <right style="thin">
        <color rgb="FFA8D5B5"/>
      </right>
      <top style="thin">
        <color rgb="FFA8D5B5"/>
      </top>
      <bottom style="thin">
        <color rgb="FFA8D5B5"/>
      </bottom>
      <diagonal/>
    </border>
    <border>
      <left style="thin">
        <color rgb="FF9FD5D5"/>
      </left>
      <right style="thin">
        <color rgb="FF9FD5D5"/>
      </right>
      <top style="thin">
        <color rgb="FF9FD5D5"/>
      </top>
      <bottom style="thin">
        <color rgb="FF9FD5D5"/>
      </bottom>
      <diagonal/>
    </border>
    <border>
      <left style="thin">
        <color rgb="FFC7D2F0"/>
      </left>
      <right style="thin">
        <color rgb="FFC7D2F0"/>
      </right>
      <top style="thin">
        <color rgb="FFC7D2F0"/>
      </top>
      <bottom style="thin">
        <color rgb="FFC7D2F0"/>
      </bottom>
      <diagonal/>
    </border>
    <border>
      <left/>
      <right/>
      <top/>
      <bottom/>
      <diagonal/>
    </border>
    <border>
      <left/>
      <right/>
      <top style="medium">
        <color rgb="FF1F4E79"/>
      </top>
      <bottom/>
      <diagonal/>
    </border>
    <border>
      <left style="thin">
        <color rgb="FFBDD7EE"/>
      </left>
      <right/>
      <top style="thin">
        <color rgb="FFBDD7EE"/>
      </top>
      <bottom style="thin">
        <color rgb="FFBDD7EE"/>
      </bottom>
      <diagonal/>
    </border>
    <border>
      <left/>
      <right style="thin">
        <color rgb="FFA8D5B5"/>
      </right>
      <top style="thin">
        <color rgb="FFA8D5B5"/>
      </top>
      <bottom style="thin">
        <color rgb="FFA8D5B5"/>
      </bottom>
      <diagonal/>
    </border>
    <border>
      <left style="thin">
        <color rgb="FFDDDDDD"/>
      </left>
      <right style="thin">
        <color rgb="FFDDDDDD"/>
      </right>
      <top/>
      <bottom style="thin">
        <color rgb="FFDDDDDD"/>
      </bottom>
      <diagonal/>
    </border>
    <border>
      <left style="thin">
        <color rgb="FFBDD7EE"/>
      </left>
      <right style="thin">
        <color rgb="FFA8D5B5"/>
      </right>
      <top style="thin">
        <color rgb="FFBDD7EE"/>
      </top>
      <bottom style="thin">
        <color rgb="FFBDD7EE"/>
      </bottom>
      <diagonal/>
    </border>
    <border>
      <left style="thin">
        <color rgb="FFDDDDDD"/>
      </left>
      <right style="thin">
        <color rgb="FFDDDDDD"/>
      </right>
      <top style="thin">
        <color rgb="FFDDDDDD"/>
      </top>
      <bottom/>
      <diagonal/>
    </border>
    <border>
      <left style="thin">
        <color rgb="FFBDD7EE"/>
      </left>
      <right style="thin">
        <color rgb="FFA8D5B5"/>
      </right>
      <top style="thin">
        <color rgb="FFDDDDDD"/>
      </top>
      <bottom style="thin">
        <color rgb="FFDDDDDD"/>
      </bottom>
      <diagonal/>
    </border>
    <border>
      <left/>
      <right/>
      <top style="thin">
        <color rgb="FFCA8EC9"/>
      </top>
      <bottom/>
      <diagonal/>
    </border>
    <border>
      <left/>
      <right style="thin">
        <color rgb="FFDDDDDD"/>
      </right>
      <top style="thin">
        <color rgb="FFDDDDDD"/>
      </top>
      <bottom/>
      <diagonal/>
    </border>
    <border>
      <left style="thin">
        <color rgb="FFBDD7EE"/>
      </left>
      <right style="thin">
        <color rgb="FFBDD7EE"/>
      </right>
      <top style="thin">
        <color rgb="FFBDD7EE"/>
      </top>
      <bottom/>
      <diagonal/>
    </border>
    <border>
      <left style="thin">
        <color rgb="FFBDD7EE"/>
      </left>
      <right style="thin">
        <color rgb="FFBDD7EE"/>
      </right>
      <top/>
      <bottom style="thin">
        <color rgb="FFBDD7EE"/>
      </bottom>
      <diagonal/>
    </border>
    <border>
      <left/>
      <right style="thin">
        <color rgb="FFBDD7EE"/>
      </right>
      <top style="thin">
        <color rgb="FFBDD7EE"/>
      </top>
      <bottom style="thin">
        <color rgb="FFBDD7EE"/>
      </bottom>
      <diagonal/>
    </border>
    <border>
      <left style="thin">
        <color rgb="FFBDD7EE"/>
      </left>
      <right style="thin">
        <color rgb="FFBDD7EE"/>
      </right>
      <top/>
      <bottom/>
      <diagonal/>
    </border>
    <border>
      <left style="thin">
        <color rgb="FFBDD7EE"/>
      </left>
      <right/>
      <top style="thin">
        <color rgb="FFBDD7EE"/>
      </top>
      <bottom/>
      <diagonal/>
    </border>
    <border>
      <left/>
      <right style="thin">
        <color rgb="FFDDDDDD"/>
      </right>
      <top/>
      <bottom style="thin">
        <color rgb="FFDDDDDD"/>
      </bottom>
      <diagonal/>
    </border>
    <border>
      <left style="thin">
        <color rgb="FFBDD7EE"/>
      </left>
      <right/>
      <top/>
      <bottom/>
      <diagonal/>
    </border>
    <border>
      <left/>
      <right style="thin">
        <color rgb="FFDDDDDD"/>
      </right>
      <top/>
      <bottom/>
      <diagonal/>
    </border>
    <border>
      <left style="thin">
        <color rgb="FFC7D2F0"/>
      </left>
      <right style="thin">
        <color rgb="FFC7D2F0"/>
      </right>
      <top/>
      <bottom/>
      <diagonal/>
    </border>
    <border>
      <left/>
      <right style="thin">
        <color rgb="FFA8D5B5"/>
      </right>
      <top style="thin">
        <color rgb="FFBDD7EE"/>
      </top>
      <bottom style="thin">
        <color rgb="FFBDD7EE"/>
      </bottom>
      <diagonal/>
    </border>
  </borders>
  <cellStyleXfs count="2">
    <xf numFmtId="0" fontId="0" fillId="0" borderId="11"/>
    <xf numFmtId="0" fontId="36" fillId="0" borderId="11"/>
  </cellStyleXfs>
  <cellXfs count="170">
    <xf numFmtId="0" fontId="0" fillId="0" borderId="0" xfId="0" applyBorder="1"/>
    <xf numFmtId="0" fontId="1" fillId="0" borderId="0" xfId="0" applyFont="1" applyBorder="1" applyAlignment="1">
      <alignment vertical="center"/>
    </xf>
    <xf numFmtId="0" fontId="2" fillId="0" borderId="0" xfId="0" applyFont="1" applyBorder="1" applyAlignment="1">
      <alignment horizontal="center" vertical="center"/>
    </xf>
    <xf numFmtId="0" fontId="3" fillId="0" borderId="0" xfId="0" applyFont="1" applyBorder="1" applyAlignment="1">
      <alignment horizontal="center" vertical="center" wrapText="1"/>
    </xf>
    <xf numFmtId="0" fontId="3" fillId="3" borderId="0" xfId="0" applyFont="1" applyFill="1" applyBorder="1" applyAlignment="1">
      <alignment horizontal="center" vertical="center" wrapText="1"/>
    </xf>
    <xf numFmtId="0" fontId="5" fillId="3" borderId="0" xfId="0" applyFont="1" applyFill="1" applyBorder="1" applyAlignment="1">
      <alignment horizontal="right" vertical="center"/>
    </xf>
    <xf numFmtId="0" fontId="4" fillId="3" borderId="0" xfId="0" applyFont="1" applyFill="1" applyBorder="1" applyAlignment="1">
      <alignment horizontal="left" vertical="center"/>
    </xf>
    <xf numFmtId="0" fontId="6"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6" fillId="0" borderId="0" xfId="0" applyNumberFormat="1" applyFont="1" applyBorder="1" applyAlignment="1">
      <alignment horizontal="left" vertical="center"/>
    </xf>
    <xf numFmtId="0" fontId="3" fillId="0" borderId="0" xfId="0" applyFont="1" applyBorder="1" applyAlignment="1">
      <alignment horizontal="left" vertical="center" wrapText="1"/>
    </xf>
    <xf numFmtId="0" fontId="1" fillId="0" borderId="0" xfId="0" applyFont="1" applyBorder="1"/>
    <xf numFmtId="0" fontId="11" fillId="6" borderId="2" xfId="0" applyFont="1" applyFill="1" applyBorder="1" applyAlignment="1">
      <alignment horizontal="left" vertical="top" wrapText="1" indent="1"/>
    </xf>
    <xf numFmtId="0" fontId="12" fillId="6" borderId="2" xfId="0" applyFont="1" applyFill="1" applyBorder="1" applyAlignment="1">
      <alignment horizontal="left" vertical="top" wrapText="1" indent="1"/>
    </xf>
    <xf numFmtId="0" fontId="11" fillId="7" borderId="2" xfId="0" applyFont="1" applyFill="1" applyBorder="1" applyAlignment="1">
      <alignment horizontal="left" vertical="top" wrapText="1" indent="1"/>
    </xf>
    <xf numFmtId="0" fontId="12" fillId="7" borderId="2" xfId="0" applyFont="1" applyFill="1" applyBorder="1" applyAlignment="1">
      <alignment horizontal="left" vertical="top" wrapText="1" indent="1"/>
    </xf>
    <xf numFmtId="0" fontId="11" fillId="9" borderId="2" xfId="0" applyFont="1" applyFill="1" applyBorder="1" applyAlignment="1">
      <alignment horizontal="left" vertical="top" wrapText="1" indent="1"/>
    </xf>
    <xf numFmtId="0" fontId="12" fillId="9" borderId="2" xfId="0" applyFont="1" applyFill="1" applyBorder="1" applyAlignment="1">
      <alignment horizontal="left" vertical="top" wrapText="1" indent="1"/>
    </xf>
    <xf numFmtId="0" fontId="11" fillId="11" borderId="2" xfId="0" applyFont="1" applyFill="1" applyBorder="1" applyAlignment="1">
      <alignment horizontal="left" vertical="top" wrapText="1" indent="1"/>
    </xf>
    <xf numFmtId="0" fontId="12" fillId="11" borderId="2" xfId="0" applyFont="1" applyFill="1" applyBorder="1" applyAlignment="1">
      <alignment horizontal="left" vertical="top" wrapText="1" indent="1"/>
    </xf>
    <xf numFmtId="0" fontId="11" fillId="13" borderId="2" xfId="0" applyFont="1" applyFill="1" applyBorder="1" applyAlignment="1">
      <alignment horizontal="left" vertical="top" wrapText="1" indent="1"/>
    </xf>
    <xf numFmtId="0" fontId="12" fillId="13" borderId="2" xfId="0" applyFont="1" applyFill="1" applyBorder="1" applyAlignment="1">
      <alignment horizontal="left" vertical="top" wrapText="1" indent="1"/>
    </xf>
    <xf numFmtId="0" fontId="13" fillId="15" borderId="2" xfId="0" applyFont="1" applyFill="1" applyBorder="1" applyAlignment="1">
      <alignment horizontal="left" vertical="top" wrapText="1" indent="1"/>
    </xf>
    <xf numFmtId="0" fontId="12" fillId="15" borderId="2" xfId="0" applyFont="1" applyFill="1" applyBorder="1" applyAlignment="1">
      <alignment horizontal="left" vertical="top" wrapText="1" indent="1"/>
    </xf>
    <xf numFmtId="0" fontId="0" fillId="0" borderId="1" xfId="0" applyBorder="1"/>
    <xf numFmtId="0" fontId="26" fillId="2" borderId="0" xfId="0" applyFont="1" applyFill="1" applyBorder="1" applyAlignment="1">
      <alignment horizontal="left" vertical="center"/>
    </xf>
    <xf numFmtId="0" fontId="18" fillId="19" borderId="4" xfId="0" applyFont="1" applyFill="1" applyBorder="1" applyAlignment="1">
      <alignment horizontal="center" vertical="center" wrapText="1"/>
    </xf>
    <xf numFmtId="0" fontId="18" fillId="20" borderId="4" xfId="0" applyFont="1" applyFill="1" applyBorder="1" applyAlignment="1">
      <alignment horizontal="center" vertical="center" wrapText="1"/>
    </xf>
    <xf numFmtId="49" fontId="18" fillId="21" borderId="4" xfId="0" applyNumberFormat="1" applyFont="1" applyFill="1" applyBorder="1" applyAlignment="1">
      <alignment horizontal="center" vertical="center" wrapText="1"/>
    </xf>
    <xf numFmtId="49" fontId="18" fillId="22" borderId="4" xfId="0" applyNumberFormat="1" applyFont="1" applyFill="1" applyBorder="1" applyAlignment="1">
      <alignment horizontal="center" vertical="center" wrapText="1"/>
    </xf>
    <xf numFmtId="49" fontId="18" fillId="23" borderId="4" xfId="0" applyNumberFormat="1" applyFont="1" applyFill="1" applyBorder="1" applyAlignment="1">
      <alignment horizontal="center" vertical="center" wrapText="1"/>
    </xf>
    <xf numFmtId="0" fontId="18" fillId="24" borderId="4" xfId="0" applyFont="1" applyFill="1" applyBorder="1" applyAlignment="1">
      <alignment horizontal="center" vertical="center" wrapText="1"/>
    </xf>
    <xf numFmtId="0" fontId="0" fillId="25" borderId="5" xfId="0" applyFill="1" applyBorder="1"/>
    <xf numFmtId="0" fontId="19" fillId="25" borderId="5" xfId="0" applyFont="1" applyFill="1" applyBorder="1" applyAlignment="1">
      <alignment horizontal="left" vertical="center" indent="1"/>
    </xf>
    <xf numFmtId="0" fontId="20" fillId="26" borderId="5" xfId="0" applyFont="1" applyFill="1" applyBorder="1" applyAlignment="1">
      <alignment horizontal="left" vertical="center" wrapText="1" indent="1"/>
    </xf>
    <xf numFmtId="0" fontId="20" fillId="23" borderId="5" xfId="0" applyFont="1" applyFill="1" applyBorder="1" applyAlignment="1">
      <alignment horizontal="left" vertical="center" wrapText="1" indent="1"/>
    </xf>
    <xf numFmtId="0" fontId="21" fillId="27" borderId="6" xfId="0" applyFont="1" applyFill="1" applyBorder="1" applyAlignment="1">
      <alignment horizontal="left" vertical="center" indent="2"/>
    </xf>
    <xf numFmtId="0" fontId="18" fillId="20" borderId="6" xfId="0" applyFont="1" applyFill="1" applyBorder="1" applyAlignment="1">
      <alignment horizontal="center" vertical="center"/>
    </xf>
    <xf numFmtId="0" fontId="22" fillId="27" borderId="7" xfId="0" applyFont="1" applyFill="1" applyBorder="1"/>
    <xf numFmtId="0" fontId="23" fillId="28" borderId="8" xfId="0" applyFont="1" applyFill="1" applyBorder="1" applyAlignment="1">
      <alignment horizontal="left" vertical="center" wrapText="1" indent="2"/>
    </xf>
    <xf numFmtId="0" fontId="24" fillId="29" borderId="9" xfId="0" applyFont="1" applyFill="1" applyBorder="1" applyAlignment="1">
      <alignment horizontal="left" vertical="center" wrapText="1" indent="2"/>
    </xf>
    <xf numFmtId="0" fontId="25" fillId="30" borderId="10" xfId="0" applyFont="1" applyFill="1" applyBorder="1" applyAlignment="1">
      <alignment horizontal="left" vertical="center" wrapText="1" indent="2"/>
    </xf>
    <xf numFmtId="0" fontId="18" fillId="21" borderId="6" xfId="0" applyFont="1" applyFill="1" applyBorder="1" applyAlignment="1">
      <alignment horizontal="center" vertical="center"/>
    </xf>
    <xf numFmtId="0" fontId="31" fillId="31" borderId="0" xfId="0" applyFont="1" applyFill="1" applyBorder="1" applyAlignment="1">
      <alignment horizontal="left" vertical="center" wrapText="1"/>
    </xf>
    <xf numFmtId="0" fontId="32" fillId="32" borderId="0" xfId="0" applyFont="1" applyFill="1" applyBorder="1" applyAlignment="1">
      <alignment horizontal="left" vertical="center" wrapText="1"/>
    </xf>
    <xf numFmtId="0" fontId="35" fillId="33" borderId="0" xfId="0" applyFont="1" applyFill="1" applyBorder="1" applyAlignment="1">
      <alignment vertical="center"/>
    </xf>
    <xf numFmtId="0" fontId="11" fillId="34" borderId="11" xfId="0" applyFont="1" applyFill="1" applyAlignment="1">
      <alignment vertical="center"/>
    </xf>
    <xf numFmtId="0" fontId="34" fillId="35" borderId="11" xfId="0" applyFont="1" applyFill="1" applyAlignment="1">
      <alignment vertical="center"/>
    </xf>
    <xf numFmtId="0" fontId="11" fillId="34" borderId="12" xfId="0" applyFont="1" applyFill="1" applyBorder="1" applyAlignment="1">
      <alignment vertical="center"/>
    </xf>
    <xf numFmtId="0" fontId="34" fillId="35" borderId="12" xfId="0" applyFont="1" applyFill="1" applyBorder="1" applyAlignment="1">
      <alignment vertical="center"/>
    </xf>
    <xf numFmtId="0" fontId="34" fillId="36" borderId="11" xfId="0" applyFont="1" applyFill="1" applyAlignment="1">
      <alignment vertical="center"/>
    </xf>
    <xf numFmtId="0" fontId="34" fillId="36" borderId="12" xfId="0" applyFont="1" applyFill="1" applyBorder="1" applyAlignment="1">
      <alignment vertical="center"/>
    </xf>
    <xf numFmtId="0" fontId="0" fillId="0" borderId="11" xfId="0"/>
    <xf numFmtId="0" fontId="32" fillId="32" borderId="11" xfId="0" applyFont="1" applyFill="1" applyAlignment="1">
      <alignment horizontal="left" vertical="center" wrapText="1"/>
    </xf>
    <xf numFmtId="0" fontId="36" fillId="20" borderId="6" xfId="1" applyFill="1" applyBorder="1" applyAlignment="1">
      <alignment horizontal="center" vertical="center"/>
    </xf>
    <xf numFmtId="0" fontId="21" fillId="27" borderId="11" xfId="0" applyFont="1" applyFill="1" applyAlignment="1">
      <alignment horizontal="left" vertical="center" indent="2"/>
    </xf>
    <xf numFmtId="0" fontId="22" fillId="27" borderId="11" xfId="0" applyFont="1" applyFill="1"/>
    <xf numFmtId="0" fontId="23" fillId="28" borderId="11" xfId="0" applyFont="1" applyFill="1" applyAlignment="1">
      <alignment horizontal="left" vertical="center" wrapText="1" indent="2"/>
    </xf>
    <xf numFmtId="0" fontId="24" fillId="29" borderId="11" xfId="0" applyFont="1" applyFill="1" applyAlignment="1">
      <alignment horizontal="left" vertical="center" wrapText="1" indent="2"/>
    </xf>
    <xf numFmtId="0" fontId="25" fillId="30" borderId="11" xfId="0" applyFont="1" applyFill="1" applyAlignment="1">
      <alignment horizontal="left" vertical="center" wrapText="1" indent="2"/>
    </xf>
    <xf numFmtId="0" fontId="18" fillId="38" borderId="6" xfId="1" applyFont="1" applyFill="1" applyBorder="1" applyAlignment="1">
      <alignment horizontal="center" vertical="center"/>
    </xf>
    <xf numFmtId="0" fontId="18" fillId="38" borderId="11" xfId="1" applyFont="1" applyFill="1" applyAlignment="1">
      <alignment horizontal="center" vertical="center"/>
    </xf>
    <xf numFmtId="0" fontId="36" fillId="38" borderId="6" xfId="1" applyFill="1" applyBorder="1" applyAlignment="1">
      <alignment horizontal="center" vertical="center"/>
    </xf>
    <xf numFmtId="0" fontId="18" fillId="39" borderId="6" xfId="1" applyFont="1" applyFill="1" applyBorder="1" applyAlignment="1">
      <alignment horizontal="center" vertical="center"/>
    </xf>
    <xf numFmtId="0" fontId="18" fillId="20" borderId="13" xfId="0" applyFont="1" applyFill="1" applyBorder="1" applyAlignment="1">
      <alignment horizontal="center" vertical="center"/>
    </xf>
    <xf numFmtId="0" fontId="23" fillId="28" borderId="14" xfId="0" applyFont="1" applyFill="1" applyBorder="1" applyAlignment="1">
      <alignment horizontal="left" vertical="center" wrapText="1" indent="2"/>
    </xf>
    <xf numFmtId="0" fontId="0" fillId="25" borderId="11" xfId="0" applyFill="1"/>
    <xf numFmtId="0" fontId="22" fillId="27" borderId="15" xfId="0" applyFont="1" applyFill="1" applyBorder="1"/>
    <xf numFmtId="0" fontId="18" fillId="20" borderId="6" xfId="1" applyFont="1" applyFill="1" applyBorder="1" applyAlignment="1">
      <alignment horizontal="center" vertical="center"/>
    </xf>
    <xf numFmtId="0" fontId="18" fillId="39" borderId="16" xfId="1" applyFont="1" applyFill="1" applyBorder="1" applyAlignment="1">
      <alignment horizontal="center"/>
    </xf>
    <xf numFmtId="0" fontId="18" fillId="39" borderId="7" xfId="1" applyFont="1" applyFill="1" applyBorder="1" applyAlignment="1">
      <alignment horizontal="center"/>
    </xf>
    <xf numFmtId="0" fontId="23" fillId="32" borderId="0" xfId="0" applyFont="1" applyFill="1" applyBorder="1" applyAlignment="1">
      <alignment horizontal="left" vertical="center" wrapText="1"/>
    </xf>
    <xf numFmtId="0" fontId="10" fillId="25" borderId="5" xfId="0" applyFont="1" applyFill="1" applyBorder="1" applyAlignment="1">
      <alignment horizontal="left" vertical="center" indent="1"/>
    </xf>
    <xf numFmtId="0" fontId="36" fillId="20" borderId="13" xfId="1" applyFill="1" applyBorder="1" applyAlignment="1">
      <alignment horizontal="center" vertical="center"/>
    </xf>
    <xf numFmtId="0" fontId="18" fillId="39" borderId="17" xfId="1" applyFont="1" applyFill="1" applyBorder="1" applyAlignment="1">
      <alignment horizontal="center"/>
    </xf>
    <xf numFmtId="0" fontId="22" fillId="41" borderId="18" xfId="0" applyFont="1" applyFill="1" applyBorder="1"/>
    <xf numFmtId="0" fontId="18" fillId="21" borderId="6" xfId="1" applyFont="1" applyFill="1" applyBorder="1" applyAlignment="1">
      <alignment horizontal="center" vertical="center"/>
    </xf>
    <xf numFmtId="0" fontId="37" fillId="38" borderId="6" xfId="1" applyFont="1" applyFill="1" applyBorder="1" applyAlignment="1">
      <alignment horizontal="center" vertical="center"/>
    </xf>
    <xf numFmtId="0" fontId="37" fillId="38" borderId="11" xfId="1" applyFont="1" applyFill="1" applyAlignment="1">
      <alignment horizontal="center"/>
    </xf>
    <xf numFmtId="0" fontId="22" fillId="41" borderId="7" xfId="1" applyFont="1" applyFill="1" applyBorder="1" applyAlignment="1">
      <alignment horizontal="center"/>
    </xf>
    <xf numFmtId="0" fontId="11" fillId="34" borderId="19" xfId="0" applyFont="1" applyFill="1" applyBorder="1" applyAlignment="1">
      <alignment vertical="center"/>
    </xf>
    <xf numFmtId="0" fontId="34" fillId="35" borderId="19" xfId="0" applyFont="1" applyFill="1" applyBorder="1" applyAlignment="1">
      <alignment vertical="center"/>
    </xf>
    <xf numFmtId="0" fontId="23" fillId="42" borderId="11" xfId="0" applyFont="1" applyFill="1"/>
    <xf numFmtId="0" fontId="23" fillId="42" borderId="11" xfId="0" applyFont="1" applyFill="1" applyAlignment="1">
      <alignment horizontal="left" vertical="center" wrapText="1"/>
    </xf>
    <xf numFmtId="0" fontId="22" fillId="41" borderId="7" xfId="1" applyFont="1" applyFill="1" applyBorder="1"/>
    <xf numFmtId="0" fontId="22" fillId="41" borderId="7" xfId="1" applyFont="1" applyFill="1" applyBorder="1" applyAlignment="1">
      <alignment horizontal="left"/>
    </xf>
    <xf numFmtId="0" fontId="38" fillId="0" borderId="0" xfId="0" applyFont="1" applyBorder="1" applyAlignment="1">
      <alignment horizontal="center" vertical="center" wrapText="1"/>
    </xf>
    <xf numFmtId="0" fontId="0" fillId="43" borderId="0" xfId="0" applyFill="1" applyBorder="1"/>
    <xf numFmtId="0" fontId="21" fillId="27" borderId="13" xfId="0" applyFont="1" applyFill="1" applyBorder="1" applyAlignment="1">
      <alignment horizontal="left" vertical="center" indent="2"/>
    </xf>
    <xf numFmtId="0" fontId="22" fillId="27" borderId="3" xfId="0" applyFont="1" applyFill="1" applyBorder="1"/>
    <xf numFmtId="0" fontId="37" fillId="38" borderId="21" xfId="1" applyFont="1" applyFill="1" applyBorder="1" applyAlignment="1">
      <alignment horizontal="center" vertical="center"/>
    </xf>
    <xf numFmtId="0" fontId="18" fillId="20" borderId="22" xfId="0" applyFont="1" applyFill="1" applyBorder="1" applyAlignment="1">
      <alignment horizontal="center" vertical="center"/>
    </xf>
    <xf numFmtId="0" fontId="18" fillId="38" borderId="6" xfId="1" applyFont="1" applyFill="1" applyBorder="1" applyAlignment="1">
      <alignment horizontal="center"/>
    </xf>
    <xf numFmtId="0" fontId="18" fillId="38" borderId="22" xfId="1" applyFont="1" applyFill="1" applyBorder="1" applyAlignment="1">
      <alignment horizontal="center"/>
    </xf>
    <xf numFmtId="0" fontId="18" fillId="38" borderId="21" xfId="1" applyFont="1" applyFill="1" applyBorder="1" applyAlignment="1">
      <alignment horizontal="center"/>
    </xf>
    <xf numFmtId="0" fontId="18" fillId="20" borderId="21" xfId="1" applyFont="1" applyFill="1" applyBorder="1" applyAlignment="1">
      <alignment horizontal="center" vertical="center"/>
    </xf>
    <xf numFmtId="0" fontId="37" fillId="38" borderId="24" xfId="1" applyFont="1" applyFill="1" applyBorder="1" applyAlignment="1">
      <alignment horizontal="center" vertical="center"/>
    </xf>
    <xf numFmtId="0" fontId="41" fillId="0" borderId="11" xfId="0" applyFont="1" applyAlignment="1">
      <alignment horizontal="left" vertical="center" wrapText="1"/>
    </xf>
    <xf numFmtId="0" fontId="37" fillId="38" borderId="6" xfId="1" applyFont="1" applyFill="1" applyBorder="1" applyAlignment="1">
      <alignment horizontal="center"/>
    </xf>
    <xf numFmtId="0" fontId="37" fillId="38" borderId="21" xfId="1" applyFont="1" applyFill="1" applyBorder="1" applyAlignment="1">
      <alignment horizontal="center"/>
    </xf>
    <xf numFmtId="0" fontId="42" fillId="0" borderId="0" xfId="0" applyFont="1" applyBorder="1"/>
    <xf numFmtId="0" fontId="18" fillId="20" borderId="21" xfId="0" applyFont="1" applyFill="1" applyBorder="1" applyAlignment="1">
      <alignment horizontal="center" vertical="center"/>
    </xf>
    <xf numFmtId="0" fontId="18" fillId="20" borderId="25" xfId="0" applyFont="1" applyFill="1" applyBorder="1" applyAlignment="1">
      <alignment horizontal="center" vertical="center"/>
    </xf>
    <xf numFmtId="0" fontId="22" fillId="27" borderId="17" xfId="0" applyFont="1" applyFill="1" applyBorder="1"/>
    <xf numFmtId="0" fontId="22" fillId="27" borderId="26" xfId="0" applyFont="1" applyFill="1" applyBorder="1"/>
    <xf numFmtId="0" fontId="18" fillId="39" borderId="6" xfId="1" applyFont="1" applyFill="1" applyBorder="1" applyAlignment="1">
      <alignment horizontal="center"/>
    </xf>
    <xf numFmtId="0" fontId="22" fillId="27" borderId="20" xfId="0" applyFont="1" applyFill="1" applyBorder="1"/>
    <xf numFmtId="0" fontId="18" fillId="39" borderId="23" xfId="1" applyFont="1" applyFill="1" applyBorder="1" applyAlignment="1">
      <alignment horizontal="center"/>
    </xf>
    <xf numFmtId="0" fontId="18" fillId="38" borderId="25" xfId="1" applyFont="1" applyFill="1" applyBorder="1" applyAlignment="1">
      <alignment horizontal="center"/>
    </xf>
    <xf numFmtId="0" fontId="22" fillId="41" borderId="23" xfId="1" applyFont="1" applyFill="1" applyBorder="1" applyAlignment="1">
      <alignment horizontal="center"/>
    </xf>
    <xf numFmtId="0" fontId="18" fillId="20" borderId="22" xfId="1" applyFont="1" applyFill="1" applyBorder="1" applyAlignment="1">
      <alignment horizontal="center" vertical="center"/>
    </xf>
    <xf numFmtId="0" fontId="22" fillId="41" borderId="3" xfId="1" applyFont="1" applyFill="1" applyBorder="1" applyAlignment="1">
      <alignment horizontal="center"/>
    </xf>
    <xf numFmtId="0" fontId="37" fillId="38" borderId="22" xfId="1" applyFont="1" applyFill="1" applyBorder="1" applyAlignment="1">
      <alignment horizontal="center" vertical="center"/>
    </xf>
    <xf numFmtId="0" fontId="18" fillId="25" borderId="21" xfId="0" applyFont="1" applyFill="1" applyBorder="1" applyAlignment="1">
      <alignment horizontal="center" vertical="center"/>
    </xf>
    <xf numFmtId="0" fontId="18" fillId="25" borderId="21" xfId="0" applyFont="1" applyFill="1" applyBorder="1" applyAlignment="1">
      <alignment horizontal="left" vertical="center" indent="1"/>
    </xf>
    <xf numFmtId="0" fontId="36" fillId="37" borderId="6" xfId="1" applyFill="1" applyBorder="1" applyAlignment="1">
      <alignment horizontal="center"/>
    </xf>
    <xf numFmtId="0" fontId="36" fillId="38" borderId="21" xfId="1" applyFill="1" applyBorder="1" applyAlignment="1">
      <alignment horizontal="center" vertical="center"/>
    </xf>
    <xf numFmtId="0" fontId="18" fillId="20" borderId="24" xfId="0" applyFont="1" applyFill="1" applyBorder="1" applyAlignment="1">
      <alignment horizontal="center" vertical="center"/>
    </xf>
    <xf numFmtId="0" fontId="18" fillId="38" borderId="24" xfId="1" applyFont="1" applyFill="1" applyBorder="1" applyAlignment="1">
      <alignment horizontal="center"/>
    </xf>
    <xf numFmtId="0" fontId="22" fillId="41" borderId="6" xfId="1" applyFont="1" applyFill="1" applyBorder="1" applyAlignment="1">
      <alignment horizontal="center"/>
    </xf>
    <xf numFmtId="0" fontId="18" fillId="38" borderId="21" xfId="1" applyFont="1" applyFill="1" applyBorder="1" applyAlignment="1">
      <alignment horizontal="center" vertical="center"/>
    </xf>
    <xf numFmtId="0" fontId="33" fillId="0" borderId="11" xfId="0" applyFont="1" applyAlignment="1">
      <alignment horizontal="left" vertical="center" indent="2"/>
    </xf>
    <xf numFmtId="0" fontId="36" fillId="20" borderId="22" xfId="1" applyFill="1" applyBorder="1" applyAlignment="1">
      <alignment horizontal="center" vertical="center"/>
    </xf>
    <xf numFmtId="0" fontId="37" fillId="38" borderId="24" xfId="1" applyFont="1" applyFill="1" applyBorder="1" applyAlignment="1">
      <alignment horizontal="center"/>
    </xf>
    <xf numFmtId="0" fontId="42" fillId="0" borderId="11" xfId="0" applyFont="1"/>
    <xf numFmtId="0" fontId="36" fillId="20" borderId="24" xfId="1" applyFill="1" applyBorder="1" applyAlignment="1">
      <alignment horizontal="center" vertical="center"/>
    </xf>
    <xf numFmtId="0" fontId="18" fillId="39" borderId="8" xfId="1" applyFont="1" applyFill="1" applyBorder="1" applyAlignment="1">
      <alignment horizontal="center"/>
    </xf>
    <xf numFmtId="0" fontId="18" fillId="21" borderId="23" xfId="0" applyFont="1" applyFill="1" applyBorder="1" applyAlignment="1">
      <alignment horizontal="center" vertical="center"/>
    </xf>
    <xf numFmtId="0" fontId="18" fillId="20" borderId="24" xfId="1" applyFont="1" applyFill="1" applyBorder="1" applyAlignment="1">
      <alignment horizontal="center" vertical="center"/>
    </xf>
    <xf numFmtId="0" fontId="18" fillId="38" borderId="22" xfId="1" applyFont="1" applyFill="1" applyBorder="1" applyAlignment="1">
      <alignment horizontal="center" vertical="center"/>
    </xf>
    <xf numFmtId="0" fontId="18" fillId="38" borderId="13" xfId="1" applyFont="1" applyFill="1" applyBorder="1" applyAlignment="1">
      <alignment horizontal="center" vertical="center"/>
    </xf>
    <xf numFmtId="0" fontId="18" fillId="21" borderId="22" xfId="0" applyFont="1" applyFill="1" applyBorder="1" applyAlignment="1">
      <alignment horizontal="center" vertical="center"/>
    </xf>
    <xf numFmtId="0" fontId="36" fillId="38" borderId="22" xfId="1" applyFill="1" applyBorder="1" applyAlignment="1">
      <alignment horizontal="center" vertical="center"/>
    </xf>
    <xf numFmtId="0" fontId="22" fillId="41" borderId="3" xfId="1" applyFont="1" applyFill="1" applyBorder="1"/>
    <xf numFmtId="0" fontId="36" fillId="20" borderId="21" xfId="1" applyFill="1" applyBorder="1" applyAlignment="1">
      <alignment horizontal="center" vertical="center"/>
    </xf>
    <xf numFmtId="0" fontId="18" fillId="39" borderId="11" xfId="1" applyFont="1" applyFill="1" applyAlignment="1">
      <alignment horizontal="center" vertical="center"/>
    </xf>
    <xf numFmtId="0" fontId="17" fillId="18" borderId="11" xfId="0" applyFont="1" applyFill="1" applyAlignment="1">
      <alignment horizontal="left" vertical="center" indent="1"/>
    </xf>
    <xf numFmtId="0" fontId="0" fillId="0" borderId="0" xfId="0" applyBorder="1"/>
    <xf numFmtId="0" fontId="28" fillId="25" borderId="11" xfId="0" applyFont="1" applyFill="1" applyAlignment="1">
      <alignment horizontal="center" vertical="center"/>
    </xf>
    <xf numFmtId="0" fontId="27" fillId="19" borderId="11" xfId="0" applyFont="1" applyFill="1" applyAlignment="1">
      <alignment horizontal="center" vertical="center"/>
    </xf>
    <xf numFmtId="0" fontId="30" fillId="0" borderId="11" xfId="0" applyFont="1" applyAlignment="1">
      <alignment horizontal="center"/>
    </xf>
    <xf numFmtId="0" fontId="16" fillId="0" borderId="11" xfId="0" applyFont="1" applyAlignment="1">
      <alignment horizontal="center"/>
    </xf>
    <xf numFmtId="0" fontId="10" fillId="12" borderId="11" xfId="0" applyFont="1" applyFill="1" applyAlignment="1">
      <alignment horizontal="left" vertical="center" indent="1"/>
    </xf>
    <xf numFmtId="0" fontId="9" fillId="5" borderId="11" xfId="0" applyFont="1" applyFill="1" applyAlignment="1">
      <alignment horizontal="left" vertical="center" indent="1"/>
    </xf>
    <xf numFmtId="0" fontId="15" fillId="17" borderId="7" xfId="0" applyFont="1" applyFill="1" applyBorder="1" applyAlignment="1">
      <alignment horizontal="left" vertical="center" wrapText="1" indent="1"/>
    </xf>
    <xf numFmtId="0" fontId="0" fillId="0" borderId="3" xfId="0" applyBorder="1"/>
    <xf numFmtId="0" fontId="10" fillId="10" borderId="11" xfId="0" applyFont="1" applyFill="1" applyAlignment="1">
      <alignment horizontal="left" vertical="center" indent="1"/>
    </xf>
    <xf numFmtId="0" fontId="8" fillId="4" borderId="11" xfId="0" applyFont="1" applyFill="1" applyAlignment="1">
      <alignment horizontal="left" vertical="center" indent="1"/>
    </xf>
    <xf numFmtId="0" fontId="14" fillId="17" borderId="7" xfId="0" applyFont="1" applyFill="1" applyBorder="1" applyAlignment="1">
      <alignment horizontal="left" vertical="center" wrapText="1" indent="1"/>
    </xf>
    <xf numFmtId="0" fontId="10" fillId="5" borderId="11" xfId="0" applyFont="1" applyFill="1" applyAlignment="1">
      <alignment horizontal="left" vertical="center" indent="1"/>
    </xf>
    <xf numFmtId="0" fontId="10" fillId="14" borderId="11" xfId="0" applyFont="1" applyFill="1" applyAlignment="1">
      <alignment horizontal="left" vertical="center" indent="1"/>
    </xf>
    <xf numFmtId="0" fontId="10" fillId="8" borderId="11" xfId="0" applyFont="1" applyFill="1" applyAlignment="1">
      <alignment horizontal="left" vertical="center" indent="1"/>
    </xf>
    <xf numFmtId="0" fontId="10" fillId="4" borderId="11" xfId="0" applyFont="1" applyFill="1" applyAlignment="1">
      <alignment horizontal="left" vertical="center" indent="1"/>
    </xf>
    <xf numFmtId="0" fontId="10" fillId="16" borderId="11" xfId="0" applyFont="1" applyFill="1" applyAlignment="1">
      <alignment horizontal="left" vertical="center" indent="1"/>
    </xf>
    <xf numFmtId="0" fontId="0" fillId="0" borderId="11" xfId="0" applyBorder="1"/>
    <xf numFmtId="0" fontId="29" fillId="40" borderId="25" xfId="0" applyFont="1" applyFill="1" applyBorder="1" applyAlignment="1">
      <alignment horizontal="center" vertical="center"/>
    </xf>
    <xf numFmtId="0" fontId="29" fillId="35" borderId="25" xfId="0" applyFont="1" applyFill="1" applyBorder="1" applyAlignment="1">
      <alignment horizontal="center" vertical="center"/>
    </xf>
    <xf numFmtId="0" fontId="29" fillId="40" borderId="13" xfId="0" applyFont="1" applyFill="1" applyBorder="1" applyAlignment="1">
      <alignment horizontal="center" vertical="center"/>
    </xf>
    <xf numFmtId="0" fontId="36" fillId="40" borderId="6" xfId="1" applyFill="1" applyBorder="1" applyAlignment="1">
      <alignment horizontal="left"/>
    </xf>
    <xf numFmtId="0" fontId="36" fillId="35" borderId="6" xfId="1" applyFill="1" applyBorder="1" applyAlignment="1">
      <alignment horizontal="left"/>
    </xf>
    <xf numFmtId="0" fontId="0" fillId="25" borderId="11" xfId="0" applyFill="1" applyBorder="1"/>
    <xf numFmtId="0" fontId="36" fillId="38" borderId="6" xfId="1" applyFill="1" applyBorder="1" applyAlignment="1">
      <alignment horizontal="center"/>
    </xf>
    <xf numFmtId="0" fontId="36" fillId="38" borderId="21" xfId="1" applyFill="1" applyBorder="1" applyAlignment="1">
      <alignment horizontal="center"/>
    </xf>
    <xf numFmtId="0" fontId="18" fillId="39" borderId="18" xfId="1" applyFont="1" applyFill="1" applyBorder="1" applyAlignment="1">
      <alignment horizontal="center"/>
    </xf>
    <xf numFmtId="0" fontId="36" fillId="38" borderId="25" xfId="1" applyFill="1" applyBorder="1" applyAlignment="1">
      <alignment horizontal="center"/>
    </xf>
    <xf numFmtId="0" fontId="22" fillId="27" borderId="28" xfId="0" applyFont="1" applyFill="1" applyBorder="1"/>
    <xf numFmtId="0" fontId="25" fillId="30" borderId="29" xfId="0" applyFont="1" applyFill="1" applyBorder="1" applyAlignment="1">
      <alignment horizontal="left" vertical="center" wrapText="1" indent="2"/>
    </xf>
    <xf numFmtId="0" fontId="23" fillId="32" borderId="11" xfId="0" applyFont="1" applyFill="1" applyBorder="1" applyAlignment="1">
      <alignment horizontal="left" vertical="center" wrapText="1"/>
    </xf>
    <xf numFmtId="0" fontId="18" fillId="39" borderId="30" xfId="1" applyFont="1" applyFill="1" applyBorder="1" applyAlignment="1">
      <alignment horizontal="center"/>
    </xf>
    <xf numFmtId="0" fontId="18" fillId="20" borderId="27" xfId="0" applyFont="1" applyFill="1" applyBorder="1" applyAlignment="1">
      <alignment horizontal="center" vertical="center"/>
    </xf>
  </cellXfs>
  <cellStyles count="2">
    <cellStyle name="Lien hypertexte" xfId="1" builtinId="8"/>
    <cellStyle name="Normal" xfId="0" builtinId="0"/>
  </cellStyles>
  <dxfs count="4">
    <dxf>
      <font>
        <sz val="10"/>
        <name val="Arial"/>
      </font>
      <alignment vertical="center"/>
    </dxf>
    <dxf>
      <font>
        <sz val="10"/>
        <name val="Arial"/>
      </font>
      <alignment vertical="center"/>
    </dxf>
    <dxf>
      <font>
        <sz val="10"/>
        <name val="Arial"/>
      </font>
      <alignment vertical="center"/>
    </dxf>
    <dxf>
      <font>
        <b/>
        <sz val="11"/>
        <color rgb="FFFFFFFF"/>
        <name val="Arial"/>
      </font>
      <fill>
        <patternFill patternType="solid">
          <fgColor indexed="64"/>
          <bgColor rgb="FF1F4E79"/>
        </patternFill>
      </fill>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xdr:colOff>
      <xdr:row>1</xdr:row>
      <xdr:rowOff>0</xdr:rowOff>
    </xdr:from>
    <xdr:to>
      <xdr:col>6</xdr:col>
      <xdr:colOff>990409</xdr:colOff>
      <xdr:row>2</xdr:row>
      <xdr:rowOff>66858</xdr:rowOff>
    </xdr:to>
    <xdr:pic>
      <xdr:nvPicPr>
        <xdr:cNvPr id="2" name="Picture 1" descr="Creative commons licenses – Wild Pedagogies">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296080" y="244929"/>
          <a:ext cx="2060829" cy="720000"/>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roupements" displayName="TblRegroupements" ref="A1:B66" totalsRowShown="0" headerRowDxfId="3" dataDxfId="2">
  <autoFilter ref="A1:B66" xr:uid="{00000000-0009-0000-0100-000001000000}"/>
  <tableColumns count="2">
    <tableColumn id="1" xr3:uid="{00000000-0010-0000-0000-000001000000}" name="Grand domaine" dataDxfId="1"/>
    <tableColumn id="2" xr3:uid="{00000000-0010-0000-0000-000002000000}" name="Catégorie" dataDxfId="0"/>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262626"/>
      </a:dk1>
      <a:lt1>
        <a:srgbClr val="FFFFFF"/>
      </a:lt1>
      <a:dk2>
        <a:srgbClr val="262626"/>
      </a:dk2>
      <a:lt2>
        <a:srgbClr val="FFFFFF"/>
      </a:lt2>
      <a:accent1>
        <a:srgbClr val="A04B9D"/>
      </a:accent1>
      <a:accent2>
        <a:srgbClr val="E77A17"/>
      </a:accent2>
      <a:accent3>
        <a:srgbClr val="FFB600"/>
      </a:accent3>
      <a:accent4>
        <a:srgbClr val="2F85E3"/>
      </a:accent4>
      <a:accent5>
        <a:srgbClr val="EC3C70"/>
      </a:accent5>
      <a:accent6>
        <a:srgbClr val="69BE51"/>
      </a:accent6>
      <a:hlink>
        <a:srgbClr val="0563C1"/>
      </a:hlink>
      <a:folHlink>
        <a:srgbClr val="0563C1"/>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1474107-806C-4C8E-A6CF-78CA492061B7}">
  <we:reference id="wa200009404" version="1.0.0.8" store="fr-FR" storeType="OMEX"/>
  <we:alternateReferences>
    <we:reference id="WA200009404" version="1.0.0.8" store="" storeType="OMEX"/>
  </we:alternateReferences>
  <we:properties>
    <we:property name="claude.fileId" value="&quot;db864908-fa43-4e68-ae2e-6dfb418e382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17" Type="http://schemas.openxmlformats.org/officeDocument/2006/relationships/hyperlink" Target="https://www.youtube.com/watch?v=sH9mP2jmG_w" TargetMode="External"/><Relationship Id="rId671" Type="http://schemas.openxmlformats.org/officeDocument/2006/relationships/hyperlink" Target="https://www.youtube.com/watch?v=OaZkPP-VmEU&amp;list=PLd6_t9Z4OqpWTfxjp18UuFg9AAZQLLRoI&amp;index=28" TargetMode="External"/><Relationship Id="rId769" Type="http://schemas.openxmlformats.org/officeDocument/2006/relationships/hyperlink" Target="https://www.youtube.com/watch?v=HXjfXBp_wes" TargetMode="External"/><Relationship Id="rId21" Type="http://schemas.openxmlformats.org/officeDocument/2006/relationships/hyperlink" Target="https://www.youtube.com/watch?v=Zxctvz9ZuGM" TargetMode="External"/><Relationship Id="rId324" Type="http://schemas.openxmlformats.org/officeDocument/2006/relationships/hyperlink" Target="https://www.youtube.com/watch?v=6Sewq3TNknE" TargetMode="External"/><Relationship Id="rId531" Type="http://schemas.openxmlformats.org/officeDocument/2006/relationships/hyperlink" Target="https://oniseptv.onisep.fr/video/eleveuse-de-lapins" TargetMode="External"/><Relationship Id="rId629" Type="http://schemas.openxmlformats.org/officeDocument/2006/relationships/hyperlink" Target="https://www.youtube.com/watch?v=CtLuWh27_N0" TargetMode="External"/><Relationship Id="rId170" Type="http://schemas.openxmlformats.org/officeDocument/2006/relationships/hyperlink" Target="https://www.youtube.com/watch?v=hoge257iTN0" TargetMode="External"/><Relationship Id="rId836" Type="http://schemas.openxmlformats.org/officeDocument/2006/relationships/drawing" Target="../drawings/drawing1.xml"/><Relationship Id="rId268" Type="http://schemas.openxmlformats.org/officeDocument/2006/relationships/hyperlink" Target="https://www.youtube.com/watch?v=79Wtw8vBQnI" TargetMode="External"/><Relationship Id="rId475" Type="http://schemas.openxmlformats.org/officeDocument/2006/relationships/hyperlink" Target="https://oniseptv.onisep.fr/video/orthodontiste" TargetMode="External"/><Relationship Id="rId682" Type="http://schemas.openxmlformats.org/officeDocument/2006/relationships/hyperlink" Target="https://www.youtube.com/watch?v=4LHCyp1s4d0&amp;list=PLd6_t9Z4OqpWTfxjp18UuFg9AAZQLLRoI&amp;index=35" TargetMode="External"/><Relationship Id="rId32" Type="http://schemas.openxmlformats.org/officeDocument/2006/relationships/hyperlink" Target="https://www.youtube.com/watch?v=-v4UihEhSks" TargetMode="External"/><Relationship Id="rId128" Type="http://schemas.openxmlformats.org/officeDocument/2006/relationships/hyperlink" Target="https://www.youtube.com/watch?v=psuHpL2086o" TargetMode="External"/><Relationship Id="rId335" Type="http://schemas.openxmlformats.org/officeDocument/2006/relationships/hyperlink" Target="https://www.youtube.com/watch?v=TxWyI8ClVf0" TargetMode="External"/><Relationship Id="rId542" Type="http://schemas.openxmlformats.org/officeDocument/2006/relationships/hyperlink" Target="https://www.youtube.com/watch?v=T9FrJyVVJus" TargetMode="External"/><Relationship Id="rId181" Type="http://schemas.openxmlformats.org/officeDocument/2006/relationships/hyperlink" Target="https://www.youtube.com/watch?v=F_vypqatduU" TargetMode="External"/><Relationship Id="rId402" Type="http://schemas.openxmlformats.org/officeDocument/2006/relationships/hyperlink" Target="https://www.youtube.com/watch?v=3htwv4y9cAk" TargetMode="External"/><Relationship Id="rId279" Type="http://schemas.openxmlformats.org/officeDocument/2006/relationships/hyperlink" Target="https://www.youtube.com/watch?v=9AN5SLc0Uyw" TargetMode="External"/><Relationship Id="rId486" Type="http://schemas.openxmlformats.org/officeDocument/2006/relationships/hyperlink" Target="https://www.youtube.com/watch?v=AwIxKx2YCFY" TargetMode="External"/><Relationship Id="rId693" Type="http://schemas.openxmlformats.org/officeDocument/2006/relationships/hyperlink" Target="https://www.youtube.com/watch?v=d_190y7K8ZQ" TargetMode="External"/><Relationship Id="rId707" Type="http://schemas.openxmlformats.org/officeDocument/2006/relationships/hyperlink" Target="https://www.youtube.com/watch?v=hojug0g8O5U" TargetMode="External"/><Relationship Id="rId43" Type="http://schemas.openxmlformats.org/officeDocument/2006/relationships/hyperlink" Target="https://www.youtube.com/watch?v=5xNYGKTJ3pc" TargetMode="External"/><Relationship Id="rId139" Type="http://schemas.openxmlformats.org/officeDocument/2006/relationships/hyperlink" Target="https://www.youtube.com/watch?v=X7Y2qPQvgUo" TargetMode="External"/><Relationship Id="rId346" Type="http://schemas.openxmlformats.org/officeDocument/2006/relationships/hyperlink" Target="https://www.youtube.com/watch?v=8hCD3mW04jQ" TargetMode="External"/><Relationship Id="rId553" Type="http://schemas.openxmlformats.org/officeDocument/2006/relationships/hyperlink" Target="https://www.youtube.com/watch?v=RMkgCWwuN-M" TargetMode="External"/><Relationship Id="rId760" Type="http://schemas.openxmlformats.org/officeDocument/2006/relationships/hyperlink" Target="https://www.youtube.com/watch?v=0g1A2sjxd-8" TargetMode="External"/><Relationship Id="rId192" Type="http://schemas.openxmlformats.org/officeDocument/2006/relationships/hyperlink" Target="https://oniseptv.onisep.fr/video/responsable-d-exploitation-de-l-eau" TargetMode="External"/><Relationship Id="rId206" Type="http://schemas.openxmlformats.org/officeDocument/2006/relationships/hyperlink" Target="https://www.youtube.com/watch?v=wKr70yrRTU8" TargetMode="External"/><Relationship Id="rId413" Type="http://schemas.openxmlformats.org/officeDocument/2006/relationships/hyperlink" Target="https://www.youtube.com/watch?v=V3vLoColkXQ" TargetMode="External"/><Relationship Id="rId497" Type="http://schemas.openxmlformats.org/officeDocument/2006/relationships/hyperlink" Target="https://www.youtube.com/watch?v=RNM11Ix_7uw" TargetMode="External"/><Relationship Id="rId620" Type="http://schemas.openxmlformats.org/officeDocument/2006/relationships/hyperlink" Target="https://www.youtube.com/watch?v=sis57hV4WF4" TargetMode="External"/><Relationship Id="rId718" Type="http://schemas.openxmlformats.org/officeDocument/2006/relationships/hyperlink" Target="https://www.youtube.com/watch?v=pPtYI56f0pM" TargetMode="External"/><Relationship Id="rId357" Type="http://schemas.openxmlformats.org/officeDocument/2006/relationships/hyperlink" Target="https://www.youtube.com/watch?v=L3usci9pYyA" TargetMode="External"/><Relationship Id="rId54" Type="http://schemas.openxmlformats.org/officeDocument/2006/relationships/hyperlink" Target="https://www.youtube.com/watch?v=hpClhCR6wJs" TargetMode="External"/><Relationship Id="rId217" Type="http://schemas.openxmlformats.org/officeDocument/2006/relationships/hyperlink" Target="https://www.youtube.com/watch?v=wxImQEszv1Y" TargetMode="External"/><Relationship Id="rId564" Type="http://schemas.openxmlformats.org/officeDocument/2006/relationships/hyperlink" Target="https://www.youtube.com/watch?v=U91Scoq6xl0" TargetMode="External"/><Relationship Id="rId771" Type="http://schemas.openxmlformats.org/officeDocument/2006/relationships/hyperlink" Target="https://www.youtube.com/watch?v=XWIbhXkv89c" TargetMode="External"/><Relationship Id="rId424" Type="http://schemas.openxmlformats.org/officeDocument/2006/relationships/hyperlink" Target="https://www.dailymotion.com/video/x2ctskf" TargetMode="External"/><Relationship Id="rId631" Type="http://schemas.openxmlformats.org/officeDocument/2006/relationships/hyperlink" Target="https://www.youtube.com/watch?v=Ky5p2hmcwEg" TargetMode="External"/><Relationship Id="rId729" Type="http://schemas.openxmlformats.org/officeDocument/2006/relationships/hyperlink" Target="https://www.youtube.com/watch?v=-UuEDdXJ0lg" TargetMode="External"/><Relationship Id="rId270" Type="http://schemas.openxmlformats.org/officeDocument/2006/relationships/hyperlink" Target="https://oniseptv.onisep.fr/video/pharmacien-en-biologie-medicale" TargetMode="External"/><Relationship Id="rId65" Type="http://schemas.openxmlformats.org/officeDocument/2006/relationships/hyperlink" Target="https://www.youtube.com/watch?v=r39tvTwtULE" TargetMode="External"/><Relationship Id="rId130" Type="http://schemas.openxmlformats.org/officeDocument/2006/relationships/hyperlink" Target="https://www.youtube.com/watch?v=r9hk8iX5YO0" TargetMode="External"/><Relationship Id="rId368" Type="http://schemas.openxmlformats.org/officeDocument/2006/relationships/hyperlink" Target="https://oniseptv.onisep.fr/video/marion-chargee-de-communication-mon-developpement-durable" TargetMode="External"/><Relationship Id="rId575" Type="http://schemas.openxmlformats.org/officeDocument/2006/relationships/hyperlink" Target="https://www.youtube.com/shorts/7dRMs9IcbOM" TargetMode="External"/><Relationship Id="rId782" Type="http://schemas.openxmlformats.org/officeDocument/2006/relationships/hyperlink" Target="https://www.youtube.com/watch?v=XT_i9g9rcw4" TargetMode="External"/><Relationship Id="rId228" Type="http://schemas.openxmlformats.org/officeDocument/2006/relationships/hyperlink" Target="https://www.youtube.com/watch?v=SqyzwNB2ywY" TargetMode="External"/><Relationship Id="rId435" Type="http://schemas.openxmlformats.org/officeDocument/2006/relationships/hyperlink" Target="https://oniseptv.onisep.fr/video/christy-footballeuse-professionnelle" TargetMode="External"/><Relationship Id="rId642" Type="http://schemas.openxmlformats.org/officeDocument/2006/relationships/hyperlink" Target="https://www.youtube.com/watch?v=Z-6RljNhoEU" TargetMode="External"/><Relationship Id="rId281" Type="http://schemas.openxmlformats.org/officeDocument/2006/relationships/hyperlink" Target="https://www.youtube.com/watch?v=gZYhzGK4wa0" TargetMode="External"/><Relationship Id="rId502" Type="http://schemas.openxmlformats.org/officeDocument/2006/relationships/hyperlink" Target="https://oniseptv.onisep.fr/video/masseuse-kinesitherapeute-specialisee-pediatrie" TargetMode="External"/><Relationship Id="rId76" Type="http://schemas.openxmlformats.org/officeDocument/2006/relationships/hyperlink" Target="https://www.youtube.com/watch?v=NOa-99QZ1VQ" TargetMode="External"/><Relationship Id="rId141" Type="http://schemas.openxmlformats.org/officeDocument/2006/relationships/hyperlink" Target="https://www.youtube.com/watch?v=5QDjh99oB8Y" TargetMode="External"/><Relationship Id="rId379" Type="http://schemas.openxmlformats.org/officeDocument/2006/relationships/hyperlink" Target="https://www.youtube.com/watch?v=2NPKAFvU4KI" TargetMode="External"/><Relationship Id="rId586" Type="http://schemas.openxmlformats.org/officeDocument/2006/relationships/hyperlink" Target="https://www.youtube.com/watch?v=A9hPVAAwuzQ" TargetMode="External"/><Relationship Id="rId793" Type="http://schemas.openxmlformats.org/officeDocument/2006/relationships/hyperlink" Target="https://www.youtube.com/watch?v=g4Ho6WtHKo0" TargetMode="External"/><Relationship Id="rId807" Type="http://schemas.openxmlformats.org/officeDocument/2006/relationships/hyperlink" Target="https://www.youtube.com/watch?v=hprG6kTGEwM" TargetMode="External"/><Relationship Id="rId7" Type="http://schemas.openxmlformats.org/officeDocument/2006/relationships/hyperlink" Target="https://www.youtube.com/watch?v=1H1ItTAvc0Y" TargetMode="External"/><Relationship Id="rId239" Type="http://schemas.openxmlformats.org/officeDocument/2006/relationships/hyperlink" Target="https://oniseptv.onisep.fr/video/chargee-d-039-etudes-en-oceanographie" TargetMode="External"/><Relationship Id="rId446" Type="http://schemas.openxmlformats.org/officeDocument/2006/relationships/hyperlink" Target="https://www.youtube.com/watch?v=rSKfN-FTyK0" TargetMode="External"/><Relationship Id="rId653" Type="http://schemas.openxmlformats.org/officeDocument/2006/relationships/hyperlink" Target="https://www.youtube.com/watch?v=NAI4YtGHVT4&amp;list=PLjvQtIQcsQ7FdN1QaUW3dmhOPaj-63xDr&amp;index=10" TargetMode="External"/><Relationship Id="rId292" Type="http://schemas.openxmlformats.org/officeDocument/2006/relationships/hyperlink" Target="https://www.youtube.com/watch?v=LNEMLzlOfe8" TargetMode="External"/><Relationship Id="rId306" Type="http://schemas.openxmlformats.org/officeDocument/2006/relationships/hyperlink" Target="https://www.youtube.com/watch?v=aDw0nbnTB08" TargetMode="External"/><Relationship Id="rId87" Type="http://schemas.openxmlformats.org/officeDocument/2006/relationships/hyperlink" Target="https://www.youtube.com/watch?v=1444FpEZCLE" TargetMode="External"/><Relationship Id="rId513" Type="http://schemas.openxmlformats.org/officeDocument/2006/relationships/hyperlink" Target="https://www.youtube.com/watch?v=GwwGlqlFxNU" TargetMode="External"/><Relationship Id="rId597" Type="http://schemas.openxmlformats.org/officeDocument/2006/relationships/hyperlink" Target="https://www.youtube.com/watch?v=LatOWy30zj8" TargetMode="External"/><Relationship Id="rId720" Type="http://schemas.openxmlformats.org/officeDocument/2006/relationships/hyperlink" Target="https://www.youtube.com/watch?v=XQL9pciiwRA" TargetMode="External"/><Relationship Id="rId818" Type="http://schemas.openxmlformats.org/officeDocument/2006/relationships/hyperlink" Target="https://www.youtube.com/watch?v=e51P0mFWhYw" TargetMode="External"/><Relationship Id="rId152" Type="http://schemas.openxmlformats.org/officeDocument/2006/relationships/hyperlink" Target="https://www.youtube.com/watch?v=non8TkaH8SE" TargetMode="External"/><Relationship Id="rId457" Type="http://schemas.openxmlformats.org/officeDocument/2006/relationships/hyperlink" Target="https://www.youtube.com/watch?v=eaneFYbeJmc" TargetMode="External"/><Relationship Id="rId664" Type="http://schemas.openxmlformats.org/officeDocument/2006/relationships/hyperlink" Target="https://www.youtube.com/watch?v=ZeDe1w8fhzM&amp;list=PLd6_t9Z4OqpWTfxjp18UuFg9AAZQLLRoI&amp;index=24" TargetMode="External"/><Relationship Id="rId14" Type="http://schemas.openxmlformats.org/officeDocument/2006/relationships/hyperlink" Target="https://www.youtube.com/watch?v=CkJ3eVtrlos" TargetMode="External"/><Relationship Id="rId317" Type="http://schemas.openxmlformats.org/officeDocument/2006/relationships/hyperlink" Target="https://www.youtube.com/watch?v=DQi99T5mRws" TargetMode="External"/><Relationship Id="rId524" Type="http://schemas.openxmlformats.org/officeDocument/2006/relationships/hyperlink" Target="https://www.youtube.com/watch?v=Xi5DnZ0KzWY" TargetMode="External"/><Relationship Id="rId731" Type="http://schemas.openxmlformats.org/officeDocument/2006/relationships/hyperlink" Target="https://www.youtube.com/watch?v=GtS6g5f9k3g" TargetMode="External"/><Relationship Id="rId98" Type="http://schemas.openxmlformats.org/officeDocument/2006/relationships/hyperlink" Target="https://www.youtube.com/watch?v=lM2rSVSuExY" TargetMode="External"/><Relationship Id="rId163" Type="http://schemas.openxmlformats.org/officeDocument/2006/relationships/hyperlink" Target="https://oniseptv.onisep.fr/video/ingenieure-chercheuse-en-thermohydraulique" TargetMode="External"/><Relationship Id="rId370" Type="http://schemas.openxmlformats.org/officeDocument/2006/relationships/hyperlink" Target="https://www.youtube.com/watch?v=p60IV0ZMLx0" TargetMode="External"/><Relationship Id="rId829" Type="http://schemas.openxmlformats.org/officeDocument/2006/relationships/hyperlink" Target="https://www.youtube.com/watch?v=R9F5nOzBe1c" TargetMode="External"/><Relationship Id="rId230" Type="http://schemas.openxmlformats.org/officeDocument/2006/relationships/hyperlink" Target="https://www.youtube.com/watch?v=-_s0rvHvjtA" TargetMode="External"/><Relationship Id="rId468" Type="http://schemas.openxmlformats.org/officeDocument/2006/relationships/hyperlink" Target="https://www.youtube.com/watch?v=gZYhzGK4wa0" TargetMode="External"/><Relationship Id="rId675" Type="http://schemas.openxmlformats.org/officeDocument/2006/relationships/hyperlink" Target="https://www.youtube.com/watch?v=wVlXViIC_Tk&amp;list=PLd6_t9Z4OqpWTfxjp18UuFg9AAZQLLRoI&amp;index=31" TargetMode="External"/><Relationship Id="rId25" Type="http://schemas.openxmlformats.org/officeDocument/2006/relationships/hyperlink" Target="https://www.youtube.com/watch?v=2NPKAFvU4KI" TargetMode="External"/><Relationship Id="rId328" Type="http://schemas.openxmlformats.org/officeDocument/2006/relationships/hyperlink" Target="https://www.youtube.com/watch?v=AGJKy4mCZp4" TargetMode="External"/><Relationship Id="rId535" Type="http://schemas.openxmlformats.org/officeDocument/2006/relationships/hyperlink" Target="https://www.youtube.com/watch?v=q5l9mHtkXjM" TargetMode="External"/><Relationship Id="rId742" Type="http://schemas.openxmlformats.org/officeDocument/2006/relationships/hyperlink" Target="https://www.youtube.com/watch?v=IPh0XdQ3fFc" TargetMode="External"/><Relationship Id="rId174" Type="http://schemas.openxmlformats.org/officeDocument/2006/relationships/hyperlink" Target="https://www.youtube.com/watch?v=XnRpwtjjJgE" TargetMode="External"/><Relationship Id="rId381" Type="http://schemas.openxmlformats.org/officeDocument/2006/relationships/hyperlink" Target="https://www.youtube.com/watch?v=AEiCuOS0iFE" TargetMode="External"/><Relationship Id="rId602" Type="http://schemas.openxmlformats.org/officeDocument/2006/relationships/hyperlink" Target="https://www.youtube.com/watch?v=TOXk0gjtnpE" TargetMode="External"/><Relationship Id="rId241" Type="http://schemas.openxmlformats.org/officeDocument/2006/relationships/hyperlink" Target="https://www.youtube.com/watch?v=Olb75QHrZ8M" TargetMode="External"/><Relationship Id="rId479" Type="http://schemas.openxmlformats.org/officeDocument/2006/relationships/hyperlink" Target="https://www.youtube.com/watch?v=klk0J4V7qlk" TargetMode="External"/><Relationship Id="rId686" Type="http://schemas.openxmlformats.org/officeDocument/2006/relationships/hyperlink" Target="https://www.youtube.com/watch?v=pGSAVrq5VYk&amp;list=PLd6_t9Z4OqpWTfxjp18UuFg9AAZQLLRoI&amp;index=39" TargetMode="External"/><Relationship Id="rId36" Type="http://schemas.openxmlformats.org/officeDocument/2006/relationships/hyperlink" Target="https://www.youtube.com/watch?v=zkaUzJEqC6c" TargetMode="External"/><Relationship Id="rId339" Type="http://schemas.openxmlformats.org/officeDocument/2006/relationships/hyperlink" Target="https://www.youtube.com/watch?v=xwWwTFyNW_0" TargetMode="External"/><Relationship Id="rId546" Type="http://schemas.openxmlformats.org/officeDocument/2006/relationships/hyperlink" Target="https://www.youtube.com/watch?v=9fcwHVU2kNA" TargetMode="External"/><Relationship Id="rId753" Type="http://schemas.openxmlformats.org/officeDocument/2006/relationships/hyperlink" Target="https://www.youtube.com/watch?v=0kf2PLIyAkU" TargetMode="External"/><Relationship Id="rId101" Type="http://schemas.openxmlformats.org/officeDocument/2006/relationships/hyperlink" Target="https://www.youtube.com/watch?v=vFs2UpATL94" TargetMode="External"/><Relationship Id="rId185" Type="http://schemas.openxmlformats.org/officeDocument/2006/relationships/hyperlink" Target="https://www.youtube.com/watch?v=2_YTnsOnFQ0" TargetMode="External"/><Relationship Id="rId406" Type="http://schemas.openxmlformats.org/officeDocument/2006/relationships/hyperlink" Target="https://www.youtube.com/watch?v=KZ9uvWbI-Hg" TargetMode="External"/><Relationship Id="rId392" Type="http://schemas.openxmlformats.org/officeDocument/2006/relationships/hyperlink" Target="https://www.youtube.com/watch?v=496EmogV9DM" TargetMode="External"/><Relationship Id="rId613" Type="http://schemas.openxmlformats.org/officeDocument/2006/relationships/hyperlink" Target="https://oniseptv.onisep.fr/video/operateur-operatrice-de-fabrication-agroalimentaire-un-metier-du-livradois-forez" TargetMode="External"/><Relationship Id="rId697" Type="http://schemas.openxmlformats.org/officeDocument/2006/relationships/hyperlink" Target="https://www.youtube.com/watch?v=ZnDK2vJkx2Q" TargetMode="External"/><Relationship Id="rId820" Type="http://schemas.openxmlformats.org/officeDocument/2006/relationships/hyperlink" Target="https://www.youtube.com/watch?v=wdePhyMkHAA" TargetMode="External"/><Relationship Id="rId252" Type="http://schemas.openxmlformats.org/officeDocument/2006/relationships/hyperlink" Target="https://www.youtube.com/watch?v=SiQXCYMtGZY" TargetMode="External"/><Relationship Id="rId47" Type="http://schemas.openxmlformats.org/officeDocument/2006/relationships/hyperlink" Target="https://www.youtube.com/watch?v=tkKmqog5sJc" TargetMode="External"/><Relationship Id="rId112" Type="http://schemas.openxmlformats.org/officeDocument/2006/relationships/hyperlink" Target="https://www.youtube.com/watch?v=xbZTjVYQqVQ" TargetMode="External"/><Relationship Id="rId557" Type="http://schemas.openxmlformats.org/officeDocument/2006/relationships/hyperlink" Target="https://www.youtube.com/watch?v=F_cnX2tF_G0" TargetMode="External"/><Relationship Id="rId764" Type="http://schemas.openxmlformats.org/officeDocument/2006/relationships/hyperlink" Target="https://www.youtube.com/watch?v=KBveRPhlOZk" TargetMode="External"/><Relationship Id="rId196" Type="http://schemas.openxmlformats.org/officeDocument/2006/relationships/hyperlink" Target="https://www.youtube.com/watch?v=JxR23zXP6hY" TargetMode="External"/><Relationship Id="rId417" Type="http://schemas.openxmlformats.org/officeDocument/2006/relationships/hyperlink" Target="https://www.youtube.com/watch?v=N1b56lXYJ2o" TargetMode="External"/><Relationship Id="rId624" Type="http://schemas.openxmlformats.org/officeDocument/2006/relationships/hyperlink" Target="https://oniseptv.onisep.fr/video/responsable-recherche-et-developpement-alimentaire" TargetMode="External"/><Relationship Id="rId831" Type="http://schemas.openxmlformats.org/officeDocument/2006/relationships/hyperlink" Target="https://www.youtube.com/watch?v=YXpXPBySnUs" TargetMode="External"/><Relationship Id="rId263" Type="http://schemas.openxmlformats.org/officeDocument/2006/relationships/hyperlink" Target="https://oniseptv.onisep.fr/video/pharmacienne-de-la-distribution-en-gros" TargetMode="External"/><Relationship Id="rId470" Type="http://schemas.openxmlformats.org/officeDocument/2006/relationships/hyperlink" Target="https://www.youtube.com/watch?v=Nd_J1HlfoD8" TargetMode="External"/><Relationship Id="rId58" Type="http://schemas.openxmlformats.org/officeDocument/2006/relationships/hyperlink" Target="https://www.youtube.com/watch?v=uKqFQlFT-14" TargetMode="External"/><Relationship Id="rId123" Type="http://schemas.openxmlformats.org/officeDocument/2006/relationships/hyperlink" Target="https://www.youtube.com/watch?v=sag-knWne6o" TargetMode="External"/><Relationship Id="rId330" Type="http://schemas.openxmlformats.org/officeDocument/2006/relationships/hyperlink" Target="https://www.youtube.com/watch?v=-eFGDOTbZN4" TargetMode="External"/><Relationship Id="rId568" Type="http://schemas.openxmlformats.org/officeDocument/2006/relationships/hyperlink" Target="https://oniseptv.onisep.fr/video/cartographe" TargetMode="External"/><Relationship Id="rId775" Type="http://schemas.openxmlformats.org/officeDocument/2006/relationships/hyperlink" Target="https://www.youtube.com/watch?v=XW4PC-eSWuU" TargetMode="External"/><Relationship Id="rId428" Type="http://schemas.openxmlformats.org/officeDocument/2006/relationships/hyperlink" Target="https://www.youtube.com/watch?v=z3uRbpFBXV8" TargetMode="External"/><Relationship Id="rId635" Type="http://schemas.openxmlformats.org/officeDocument/2006/relationships/hyperlink" Target="https://www.youtube.com/watch?v=5xNYGKTJ3pc" TargetMode="External"/><Relationship Id="rId274" Type="http://schemas.openxmlformats.org/officeDocument/2006/relationships/hyperlink" Target="https://www.youtube.com/watch?v=kR4UpcLUCDk" TargetMode="External"/><Relationship Id="rId481" Type="http://schemas.openxmlformats.org/officeDocument/2006/relationships/hyperlink" Target="https://www.youtube.com/watch?v=mViohtOE1E4" TargetMode="External"/><Relationship Id="rId702" Type="http://schemas.openxmlformats.org/officeDocument/2006/relationships/hyperlink" Target="https://www.youtube.com/watch?v=SqXqFl6u02s" TargetMode="External"/><Relationship Id="rId69" Type="http://schemas.openxmlformats.org/officeDocument/2006/relationships/hyperlink" Target="https://www.youtube.com/watch?v=2-H3KgBDURA" TargetMode="External"/><Relationship Id="rId134" Type="http://schemas.openxmlformats.org/officeDocument/2006/relationships/hyperlink" Target="https://www.youtube.com/shorts/EqEUhZOCJNY" TargetMode="External"/><Relationship Id="rId579" Type="http://schemas.openxmlformats.org/officeDocument/2006/relationships/hyperlink" Target="https://www.youtube.com/watch?v=u4GyAlivMh8" TargetMode="External"/><Relationship Id="rId786" Type="http://schemas.openxmlformats.org/officeDocument/2006/relationships/hyperlink" Target="https://www.youtube.com/watch?v=wg4PkrDUefs" TargetMode="External"/><Relationship Id="rId341" Type="http://schemas.openxmlformats.org/officeDocument/2006/relationships/hyperlink" Target="https://www.youtube.com/watch?v=MU88onQd62c" TargetMode="External"/><Relationship Id="rId439" Type="http://schemas.openxmlformats.org/officeDocument/2006/relationships/hyperlink" Target="https://www.youtube.com/watch?v=WB3XoHaqJLg" TargetMode="External"/><Relationship Id="rId646" Type="http://schemas.openxmlformats.org/officeDocument/2006/relationships/hyperlink" Target="https://www.youtube.com/watch?v=IzZHOH1zdwA" TargetMode="External"/><Relationship Id="rId201" Type="http://schemas.openxmlformats.org/officeDocument/2006/relationships/hyperlink" Target="https://www.youtube.com/watch?v=rssKZc2CBws" TargetMode="External"/><Relationship Id="rId285" Type="http://schemas.openxmlformats.org/officeDocument/2006/relationships/hyperlink" Target="https://oniseptv.onisep.fr/video/gardien-de-l-039-environnement" TargetMode="External"/><Relationship Id="rId506" Type="http://schemas.openxmlformats.org/officeDocument/2006/relationships/hyperlink" Target="https://www.youtube.com/watch?v=1444FpEZCLE" TargetMode="External"/><Relationship Id="rId492" Type="http://schemas.openxmlformats.org/officeDocument/2006/relationships/hyperlink" Target="https://www.youtube.com/watch?v=dIyS19FMkGM" TargetMode="External"/><Relationship Id="rId713" Type="http://schemas.openxmlformats.org/officeDocument/2006/relationships/hyperlink" Target="https://www.youtube.com/watch?v=8Pi4f8eImak" TargetMode="External"/><Relationship Id="rId797" Type="http://schemas.openxmlformats.org/officeDocument/2006/relationships/hyperlink" Target="https://www.youtube.com/watch?v=I_SKxoySCLU" TargetMode="External"/><Relationship Id="rId145" Type="http://schemas.openxmlformats.org/officeDocument/2006/relationships/hyperlink" Target="https://www.youtube.com/watch?v=xbZTjVYQqVQ" TargetMode="External"/><Relationship Id="rId352" Type="http://schemas.openxmlformats.org/officeDocument/2006/relationships/hyperlink" Target="https://www.youtube.com/watch?v=DLBbMjfCY6I" TargetMode="External"/><Relationship Id="rId212" Type="http://schemas.openxmlformats.org/officeDocument/2006/relationships/hyperlink" Target="https://www.youtube.com/watch?v=MikO5HlkUSA" TargetMode="External"/><Relationship Id="rId657" Type="http://schemas.openxmlformats.org/officeDocument/2006/relationships/hyperlink" Target="https://www.youtube.com/watch?v=gdevV-NtR20" TargetMode="External"/><Relationship Id="rId296" Type="http://schemas.openxmlformats.org/officeDocument/2006/relationships/hyperlink" Target="https://www.youtube.com/watch?v=rza9DeONVG8" TargetMode="External"/><Relationship Id="rId517" Type="http://schemas.openxmlformats.org/officeDocument/2006/relationships/hyperlink" Target="https://www.youtube.com/watch?v=IsFjPsR7Sa8" TargetMode="External"/><Relationship Id="rId724" Type="http://schemas.openxmlformats.org/officeDocument/2006/relationships/hyperlink" Target="https://www.youtube.com/watch?v=nNr7_vJAqEs" TargetMode="External"/><Relationship Id="rId60" Type="http://schemas.openxmlformats.org/officeDocument/2006/relationships/hyperlink" Target="https://www.youtube.com/watch?v=hj6Uc78PUeM" TargetMode="External"/><Relationship Id="rId156" Type="http://schemas.openxmlformats.org/officeDocument/2006/relationships/hyperlink" Target="https://www.youtube.com/watch?v=zkaUzJEqC6c" TargetMode="External"/><Relationship Id="rId363" Type="http://schemas.openxmlformats.org/officeDocument/2006/relationships/hyperlink" Target="https://oniseptv.onisep.fr/video/fleuriste_" TargetMode="External"/><Relationship Id="rId570" Type="http://schemas.openxmlformats.org/officeDocument/2006/relationships/hyperlink" Target="https://www.youtube.com/watch?v=GeOwHbY2JAo" TargetMode="External"/><Relationship Id="rId223" Type="http://schemas.openxmlformats.org/officeDocument/2006/relationships/hyperlink" Target="https://www.youtube.com/watch?v=FBQpVTADWOQ" TargetMode="External"/><Relationship Id="rId430" Type="http://schemas.openxmlformats.org/officeDocument/2006/relationships/hyperlink" Target="https://www.youtube.com/watch?v=0I7A7T-Ze8A&amp;list=PLd6_t9Z4OqpWTfxjp18UuFg9AAZQLLRoI&amp;index=10" TargetMode="External"/><Relationship Id="rId668" Type="http://schemas.openxmlformats.org/officeDocument/2006/relationships/hyperlink" Target="https://www.youtube.com/watch?v=bV3XsX4PH9E&amp;list=PLd6_t9Z4OqpWTfxjp18UuFg9AAZQLLRoI&amp;index=26" TargetMode="External"/><Relationship Id="rId18" Type="http://schemas.openxmlformats.org/officeDocument/2006/relationships/hyperlink" Target="https://www.youtube.com/watch?v=mcSt1Cy_zdc" TargetMode="External"/><Relationship Id="rId528" Type="http://schemas.openxmlformats.org/officeDocument/2006/relationships/hyperlink" Target="https://www.youtube.com/watch?v=GerXaXl2I1w" TargetMode="External"/><Relationship Id="rId735" Type="http://schemas.openxmlformats.org/officeDocument/2006/relationships/hyperlink" Target="https://www.youtube.com/watch?v=wjEcL6zg-Qs" TargetMode="External"/><Relationship Id="rId167" Type="http://schemas.openxmlformats.org/officeDocument/2006/relationships/hyperlink" Target="https://oniseptv.onisep.fr/video/ingenieure-d-etudes-en-climat-urbain" TargetMode="External"/><Relationship Id="rId374" Type="http://schemas.openxmlformats.org/officeDocument/2006/relationships/hyperlink" Target="https://youtu.be/mwRyr1iOIHk" TargetMode="External"/><Relationship Id="rId581" Type="http://schemas.openxmlformats.org/officeDocument/2006/relationships/hyperlink" Target="https://www.youtube.com/watch?v=A9mC2hR1qJQ" TargetMode="External"/><Relationship Id="rId71" Type="http://schemas.openxmlformats.org/officeDocument/2006/relationships/hyperlink" Target="https://oniseptv.onisep.fr/video/les-pros-de-la-bio-ingenieure-en-biotechnologie" TargetMode="External"/><Relationship Id="rId234" Type="http://schemas.openxmlformats.org/officeDocument/2006/relationships/hyperlink" Target="https://www.youtube.com/watch?v=cPtyOlvvKXA" TargetMode="External"/><Relationship Id="rId679" Type="http://schemas.openxmlformats.org/officeDocument/2006/relationships/hyperlink" Target="https://www.youtube.com/watch?v=S8-LcLJPmOw&amp;list=PLd6_t9Z4OqpWTfxjp18UuFg9AAZQLLRoI&amp;index=34" TargetMode="External"/><Relationship Id="rId802" Type="http://schemas.openxmlformats.org/officeDocument/2006/relationships/hyperlink" Target="https://www.youtube.com/watch?v=u5EzhO4awm8" TargetMode="External"/><Relationship Id="rId2" Type="http://schemas.openxmlformats.org/officeDocument/2006/relationships/hyperlink" Target="https://www.youtube.com/watch?v=MdNZvWa8mDI" TargetMode="External"/><Relationship Id="rId29" Type="http://schemas.openxmlformats.org/officeDocument/2006/relationships/hyperlink" Target="https://oniseptv.onisep.fr/video/gardien-de-l-039-environnement" TargetMode="External"/><Relationship Id="rId441" Type="http://schemas.openxmlformats.org/officeDocument/2006/relationships/hyperlink" Target="https://oniseptv.onisep.fr/video/accompagnateur-de-tourisme-equestre" TargetMode="External"/><Relationship Id="rId539" Type="http://schemas.openxmlformats.org/officeDocument/2006/relationships/hyperlink" Target="https://www.youtube.com/watch?v=WMADYeajh9I" TargetMode="External"/><Relationship Id="rId746" Type="http://schemas.openxmlformats.org/officeDocument/2006/relationships/hyperlink" Target="https://www.youtube.com/watch?v=AwrP4GqLscA" TargetMode="External"/><Relationship Id="rId178" Type="http://schemas.openxmlformats.org/officeDocument/2006/relationships/hyperlink" Target="https://www.youtube.com/watch?v=gvRPaTA8pxc" TargetMode="External"/><Relationship Id="rId301" Type="http://schemas.openxmlformats.org/officeDocument/2006/relationships/hyperlink" Target="https://oniseptv.onisep.fr/video/responsable-qualite-securite-environnement" TargetMode="External"/><Relationship Id="rId82" Type="http://schemas.openxmlformats.org/officeDocument/2006/relationships/hyperlink" Target="https://www.youtube.com/watch?v=SekFw_rjYBs" TargetMode="External"/><Relationship Id="rId385" Type="http://schemas.openxmlformats.org/officeDocument/2006/relationships/hyperlink" Target="https://oniseptv.onisep.fr/video/assistante-veterinaire" TargetMode="External"/><Relationship Id="rId592" Type="http://schemas.openxmlformats.org/officeDocument/2006/relationships/hyperlink" Target="https://www.youtube.com/watch?v=PiY1EU0DIlY" TargetMode="External"/><Relationship Id="rId606" Type="http://schemas.openxmlformats.org/officeDocument/2006/relationships/hyperlink" Target="https://www.youtube.com/watch?v=rLlSOugnUXY" TargetMode="External"/><Relationship Id="rId813" Type="http://schemas.openxmlformats.org/officeDocument/2006/relationships/hyperlink" Target="https://www.youtube.com/watch?v=Dl6h4JErmGc" TargetMode="External"/><Relationship Id="rId245" Type="http://schemas.openxmlformats.org/officeDocument/2006/relationships/hyperlink" Target="https://www.youtube.com/watch?v=o1sd51_DK_c" TargetMode="External"/><Relationship Id="rId452" Type="http://schemas.openxmlformats.org/officeDocument/2006/relationships/hyperlink" Target="https://oniseptv.onisep.fr/video/monitrice-d-039-escalade" TargetMode="External"/><Relationship Id="rId105" Type="http://schemas.openxmlformats.org/officeDocument/2006/relationships/hyperlink" Target="https://www.youtube.com/watch?v=x4sDjxuu51Y" TargetMode="External"/><Relationship Id="rId312" Type="http://schemas.openxmlformats.org/officeDocument/2006/relationships/hyperlink" Target="https://www.youtube.com/watch?v=6doNtSDKKyg" TargetMode="External"/><Relationship Id="rId757" Type="http://schemas.openxmlformats.org/officeDocument/2006/relationships/hyperlink" Target="https://www.youtube.com/watch?v=VDn6bHRQHdU" TargetMode="External"/><Relationship Id="rId93" Type="http://schemas.openxmlformats.org/officeDocument/2006/relationships/hyperlink" Target="https://www.youtube.com/watch?v=65CV9EYU3ug" TargetMode="External"/><Relationship Id="rId189" Type="http://schemas.openxmlformats.org/officeDocument/2006/relationships/hyperlink" Target="https://www.youtube.com/watch?v=d5VL5D9X0sU" TargetMode="External"/><Relationship Id="rId396" Type="http://schemas.openxmlformats.org/officeDocument/2006/relationships/hyperlink" Target="https://www.youtube.com/watch?v=bCFq2UAxMO0" TargetMode="External"/><Relationship Id="rId617" Type="http://schemas.openxmlformats.org/officeDocument/2006/relationships/hyperlink" Target="https://www.youtube.com/watch?v=VIT2l42-9a0" TargetMode="External"/><Relationship Id="rId824" Type="http://schemas.openxmlformats.org/officeDocument/2006/relationships/hyperlink" Target="https://www.youtube.com/watch?v=kFVTujxnotM" TargetMode="External"/><Relationship Id="rId256" Type="http://schemas.openxmlformats.org/officeDocument/2006/relationships/hyperlink" Target="https://www.youtube.com/watch?v=Bvh4gY4MDHg" TargetMode="External"/><Relationship Id="rId463" Type="http://schemas.openxmlformats.org/officeDocument/2006/relationships/hyperlink" Target="https://www.youtube.com/watch?v=NsXuTJxystM" TargetMode="External"/><Relationship Id="rId670" Type="http://schemas.openxmlformats.org/officeDocument/2006/relationships/hyperlink" Target="https://www.youtube.com/watch?v=OaZkPP-VmEU&amp;list=PLd6_t9Z4OqpWTfxjp18UuFg9AAZQLLRoI&amp;index=28" TargetMode="External"/><Relationship Id="rId116" Type="http://schemas.openxmlformats.org/officeDocument/2006/relationships/hyperlink" Target="https://www.youtube.com/watch?v=na8NezT2n1U" TargetMode="External"/><Relationship Id="rId323" Type="http://schemas.openxmlformats.org/officeDocument/2006/relationships/hyperlink" Target="https://www.youtube.com/watch?v=m50e-6Ak1eI&amp;list=PLEnK6o7pdzkdILDqGqkB2bKKHCrxBewbF&amp;index=8" TargetMode="External"/><Relationship Id="rId530" Type="http://schemas.openxmlformats.org/officeDocument/2006/relationships/hyperlink" Target="https://www.youtube.com/watch?v=z_9lkaBSdR8" TargetMode="External"/><Relationship Id="rId768" Type="http://schemas.openxmlformats.org/officeDocument/2006/relationships/hyperlink" Target="https://www.youtube.com/watch?v=HXjfXBp_wes" TargetMode="External"/><Relationship Id="rId20" Type="http://schemas.openxmlformats.org/officeDocument/2006/relationships/hyperlink" Target="https://www.youtube.com/watch?v=zmWkytuXfAE" TargetMode="External"/><Relationship Id="rId628" Type="http://schemas.openxmlformats.org/officeDocument/2006/relationships/hyperlink" Target="https://www.youtube.com/watch?v=tzgTrsvvY-Y" TargetMode="External"/><Relationship Id="rId835" Type="http://schemas.openxmlformats.org/officeDocument/2006/relationships/hyperlink" Target="https://www.youtube.com/watch?v=3m_O4voy7GI" TargetMode="External"/><Relationship Id="rId267" Type="http://schemas.openxmlformats.org/officeDocument/2006/relationships/hyperlink" Target="https://www.youtube.com/watch?v=GvfANw1AOaw" TargetMode="External"/><Relationship Id="rId474" Type="http://schemas.openxmlformats.org/officeDocument/2006/relationships/hyperlink" Target="https://www.youtube.com/watch?v=f-BT2-KSzbE" TargetMode="External"/><Relationship Id="rId127" Type="http://schemas.openxmlformats.org/officeDocument/2006/relationships/hyperlink" Target="https://www.youtube.com/watch?v=b4ijch3YLHc" TargetMode="External"/><Relationship Id="rId681" Type="http://schemas.openxmlformats.org/officeDocument/2006/relationships/hyperlink" Target="https://www.youtube.com/watch?v=4LHCyp1s4d0&amp;list=PLd6_t9Z4OqpWTfxjp18UuFg9AAZQLLRoI&amp;index=35" TargetMode="External"/><Relationship Id="rId779" Type="http://schemas.openxmlformats.org/officeDocument/2006/relationships/hyperlink" Target="https://www.youtube.com/watch?v=hBR6Nt5JacM" TargetMode="External"/><Relationship Id="rId31" Type="http://schemas.openxmlformats.org/officeDocument/2006/relationships/hyperlink" Target="https://www.youtube.com/watch?v=ol8fkzlH9Xc" TargetMode="External"/><Relationship Id="rId334" Type="http://schemas.openxmlformats.org/officeDocument/2006/relationships/hyperlink" Target="https://www.youtube.com/watch?v=xHoXEhZw0Js" TargetMode="External"/><Relationship Id="rId541" Type="http://schemas.openxmlformats.org/officeDocument/2006/relationships/hyperlink" Target="https://www.youtube.com/watch?v=I1A9woKs6fo" TargetMode="External"/><Relationship Id="rId639" Type="http://schemas.openxmlformats.org/officeDocument/2006/relationships/hyperlink" Target="https://www.youtube.com/watch?v=I96CMNI22tk" TargetMode="External"/><Relationship Id="rId180" Type="http://schemas.openxmlformats.org/officeDocument/2006/relationships/hyperlink" Target="https://www.youtube.com/watch?v=uGB-u06MPZU" TargetMode="External"/><Relationship Id="rId278" Type="http://schemas.openxmlformats.org/officeDocument/2006/relationships/hyperlink" Target="https://www.youtube.com/watch?v=y44u93xjkgA" TargetMode="External"/><Relationship Id="rId401" Type="http://schemas.openxmlformats.org/officeDocument/2006/relationships/hyperlink" Target="https://www.youtube.com/watch?v=dQuOi5P0hU8" TargetMode="External"/><Relationship Id="rId485" Type="http://schemas.openxmlformats.org/officeDocument/2006/relationships/hyperlink" Target="https://www.youtube.com/watch?v=QaLBn5jJ22A" TargetMode="External"/><Relationship Id="rId692" Type="http://schemas.openxmlformats.org/officeDocument/2006/relationships/hyperlink" Target="https://www.youtube.com/watch?v=t8w1ZKeicFI" TargetMode="External"/><Relationship Id="rId706" Type="http://schemas.openxmlformats.org/officeDocument/2006/relationships/hyperlink" Target="https://www.youtube.com/watch?v=dbFbo0QNthg" TargetMode="External"/><Relationship Id="rId42" Type="http://schemas.openxmlformats.org/officeDocument/2006/relationships/hyperlink" Target="https://www.youtube.com/watch?v=Ky5p2hmcwEg" TargetMode="External"/><Relationship Id="rId138" Type="http://schemas.openxmlformats.org/officeDocument/2006/relationships/hyperlink" Target="https://www.youtube.com/shorts/No3W7ivdwic" TargetMode="External"/><Relationship Id="rId345" Type="http://schemas.openxmlformats.org/officeDocument/2006/relationships/hyperlink" Target="https://www.youtube.com/watch?v=3j-5MG0hX4g" TargetMode="External"/><Relationship Id="rId552" Type="http://schemas.openxmlformats.org/officeDocument/2006/relationships/hyperlink" Target="https://oniseptv.onisep.fr/video/technicien-preparateur-en-production-et-experimentation-vegetale" TargetMode="External"/><Relationship Id="rId191" Type="http://schemas.openxmlformats.org/officeDocument/2006/relationships/hyperlink" Target="https://www.youtube.com/watch?v=oNF4tRAJetw" TargetMode="External"/><Relationship Id="rId205" Type="http://schemas.openxmlformats.org/officeDocument/2006/relationships/hyperlink" Target="https://www.youtube.com/watch?v=q3nY2OaIdLQ" TargetMode="External"/><Relationship Id="rId412" Type="http://schemas.openxmlformats.org/officeDocument/2006/relationships/hyperlink" Target="https://www.youtube.com/watch?v=dOoqm4tfI0k" TargetMode="External"/><Relationship Id="rId289" Type="http://schemas.openxmlformats.org/officeDocument/2006/relationships/hyperlink" Target="https://www.youtube.com/watch?v=6doNtSDKKyg" TargetMode="External"/><Relationship Id="rId496" Type="http://schemas.openxmlformats.org/officeDocument/2006/relationships/hyperlink" Target="https://oniseptv.onisep.fr/video/le-metier-d-aminata-infirmiere-puericultrice" TargetMode="External"/><Relationship Id="rId717" Type="http://schemas.openxmlformats.org/officeDocument/2006/relationships/hyperlink" Target="https://www.youtube.com/watch?v=_uAHbEbNTtk" TargetMode="External"/><Relationship Id="rId53" Type="http://schemas.openxmlformats.org/officeDocument/2006/relationships/hyperlink" Target="https://www.youtube.com/watch?v=grpM9NdXOns" TargetMode="External"/><Relationship Id="rId149" Type="http://schemas.openxmlformats.org/officeDocument/2006/relationships/hyperlink" Target="https://www.youtube.com/watch?v=1H1ItTAvc0Y" TargetMode="External"/><Relationship Id="rId356" Type="http://schemas.openxmlformats.org/officeDocument/2006/relationships/hyperlink" Target="https://www.youtube.com/watch?v=rUXHDsfRv_c" TargetMode="External"/><Relationship Id="rId563" Type="http://schemas.openxmlformats.org/officeDocument/2006/relationships/hyperlink" Target="https://www.youtube.com/watch?v=oxSWoMm8RY0" TargetMode="External"/><Relationship Id="rId770" Type="http://schemas.openxmlformats.org/officeDocument/2006/relationships/hyperlink" Target="https://www.youtube.com/watch?v=XWIbhXkv89c" TargetMode="External"/><Relationship Id="rId216" Type="http://schemas.openxmlformats.org/officeDocument/2006/relationships/hyperlink" Target="https://www.youtube.com/shorts/cto5wAqzlHk" TargetMode="External"/><Relationship Id="rId423" Type="http://schemas.openxmlformats.org/officeDocument/2006/relationships/hyperlink" Target="https://www.youtube.com/watch?v=4w2fEV6ra_E" TargetMode="External"/><Relationship Id="rId630" Type="http://schemas.openxmlformats.org/officeDocument/2006/relationships/hyperlink" Target="https://oniseptv.onisep.fr/video/conseiller-technique-en-agroalimentaire" TargetMode="External"/><Relationship Id="rId728" Type="http://schemas.openxmlformats.org/officeDocument/2006/relationships/hyperlink" Target="https://www.youtube.com/watch?v=jE8bhrv2uSU" TargetMode="External"/><Relationship Id="rId64" Type="http://schemas.openxmlformats.org/officeDocument/2006/relationships/hyperlink" Target="https://www.youtube.com/shorts/_wdzEjE-xA4" TargetMode="External"/><Relationship Id="rId367" Type="http://schemas.openxmlformats.org/officeDocument/2006/relationships/hyperlink" Target="https://oniseptv.onisep.fr/video/theo-animateur-nature" TargetMode="External"/><Relationship Id="rId574" Type="http://schemas.openxmlformats.org/officeDocument/2006/relationships/hyperlink" Target="https://www.youtube.com/watch?v=cROhKMndAoY" TargetMode="External"/><Relationship Id="rId227" Type="http://schemas.openxmlformats.org/officeDocument/2006/relationships/hyperlink" Target="https://www.youtube.com/watch?v=7KU3FCwe_Vk" TargetMode="External"/><Relationship Id="rId781" Type="http://schemas.openxmlformats.org/officeDocument/2006/relationships/hyperlink" Target="https://www.youtube.com/watch?v=hBR6Nt5JacM" TargetMode="External"/><Relationship Id="rId434" Type="http://schemas.openxmlformats.org/officeDocument/2006/relationships/hyperlink" Target="https://www.youtube.com/watch?v=FPN1Afjo0Ss" TargetMode="External"/><Relationship Id="rId641" Type="http://schemas.openxmlformats.org/officeDocument/2006/relationships/hyperlink" Target="https://www.youtube.com/watch?v=h56DfJDTw88" TargetMode="External"/><Relationship Id="rId739" Type="http://schemas.openxmlformats.org/officeDocument/2006/relationships/hyperlink" Target="https://www.youtube.com/watch?v=fTblJa6HsYk" TargetMode="External"/><Relationship Id="rId280" Type="http://schemas.openxmlformats.org/officeDocument/2006/relationships/hyperlink" Target="https://www.youtube.com/watch?v=9hVJXEAV31c" TargetMode="External"/><Relationship Id="rId501" Type="http://schemas.openxmlformats.org/officeDocument/2006/relationships/hyperlink" Target="https://www.youtube.com/watch?v=HujGytlPE1c" TargetMode="External"/><Relationship Id="rId75" Type="http://schemas.openxmlformats.org/officeDocument/2006/relationships/hyperlink" Target="https://www.youtube.com/watch?v=TxWyI8ClVf0" TargetMode="External"/><Relationship Id="rId140" Type="http://schemas.openxmlformats.org/officeDocument/2006/relationships/hyperlink" Target="https://www.youtube.com/watch?v=fL2ibAlnP-0" TargetMode="External"/><Relationship Id="rId378" Type="http://schemas.openxmlformats.org/officeDocument/2006/relationships/hyperlink" Target="https://www.youtube.com/watch?v=u4GyAlivMh8" TargetMode="External"/><Relationship Id="rId585" Type="http://schemas.openxmlformats.org/officeDocument/2006/relationships/hyperlink" Target="https://www.youtube.com/watch?v=I2s7LIoKH_c" TargetMode="External"/><Relationship Id="rId792" Type="http://schemas.openxmlformats.org/officeDocument/2006/relationships/hyperlink" Target="https://www.youtube.com/watch?v=Xuy1kNE0z4w" TargetMode="External"/><Relationship Id="rId806" Type="http://schemas.openxmlformats.org/officeDocument/2006/relationships/hyperlink" Target="https://www.youtube.com/watch?v=5LBGYRTvS6I" TargetMode="External"/><Relationship Id="rId6" Type="http://schemas.openxmlformats.org/officeDocument/2006/relationships/hyperlink" Target="https://www.youtube.com/watch?v=U5T9ptt05mI" TargetMode="External"/><Relationship Id="rId238" Type="http://schemas.openxmlformats.org/officeDocument/2006/relationships/hyperlink" Target="https://www.youtube.com/watch?v=DhF7lRLGob0" TargetMode="External"/><Relationship Id="rId445" Type="http://schemas.openxmlformats.org/officeDocument/2006/relationships/hyperlink" Target="https://www.youtube.com/watch?v=bFA-AWpUhkE" TargetMode="External"/><Relationship Id="rId652" Type="http://schemas.openxmlformats.org/officeDocument/2006/relationships/hyperlink" Target="https://www.youtube.com/watch?v=de_VjfZrrmU&amp;list=PLjvQtIQcsQ7FdN1QaUW3dmhOPaj-63xDr&amp;index=2" TargetMode="External"/><Relationship Id="rId291" Type="http://schemas.openxmlformats.org/officeDocument/2006/relationships/hyperlink" Target="https://www.youtube.com/watch?v=ZRYAu4l6S6A" TargetMode="External"/><Relationship Id="rId305" Type="http://schemas.openxmlformats.org/officeDocument/2006/relationships/hyperlink" Target="https://www.youtube.com/watch?v=ol8fkzlH9Xc" TargetMode="External"/><Relationship Id="rId512" Type="http://schemas.openxmlformats.org/officeDocument/2006/relationships/hyperlink" Target="https://www.youtube.com/watch?v=lv03Rse4Yfo" TargetMode="External"/><Relationship Id="rId86" Type="http://schemas.openxmlformats.org/officeDocument/2006/relationships/hyperlink" Target="https://www.youtube.com/watch?v=8hCD3mW04jQ" TargetMode="External"/><Relationship Id="rId151" Type="http://schemas.openxmlformats.org/officeDocument/2006/relationships/hyperlink" Target="https://www.youtube.com/watch?v=e2XIZZI9ojM" TargetMode="External"/><Relationship Id="rId389" Type="http://schemas.openxmlformats.org/officeDocument/2006/relationships/hyperlink" Target="https://www.youtube.com/watch?v=crdm84S5M_U" TargetMode="External"/><Relationship Id="rId596" Type="http://schemas.openxmlformats.org/officeDocument/2006/relationships/hyperlink" Target="https://www.youtube.com/watch?v=9NCMCPRF9gI" TargetMode="External"/><Relationship Id="rId817" Type="http://schemas.openxmlformats.org/officeDocument/2006/relationships/hyperlink" Target="https://www.youtube.com/watch?v=G70P6Z75iis" TargetMode="External"/><Relationship Id="rId249" Type="http://schemas.openxmlformats.org/officeDocument/2006/relationships/hyperlink" Target="https://www.youtube.com/watch?v=g4Pvopgkz5w" TargetMode="External"/><Relationship Id="rId456" Type="http://schemas.openxmlformats.org/officeDocument/2006/relationships/hyperlink" Target="https://www.youtube.com/watch?v=8gVb9nsMmTo" TargetMode="External"/><Relationship Id="rId663" Type="http://schemas.openxmlformats.org/officeDocument/2006/relationships/hyperlink" Target="https://www.parcoursmetiers.tv/video/1809-ils-font-la-pluie-et-le-beau-temps-technicien-exploitation" TargetMode="External"/><Relationship Id="rId13" Type="http://schemas.openxmlformats.org/officeDocument/2006/relationships/hyperlink" Target="https://www.youtube.com/watch?v=ZAB1DiqHtb4" TargetMode="External"/><Relationship Id="rId109" Type="http://schemas.openxmlformats.org/officeDocument/2006/relationships/hyperlink" Target="https://www.youtube.com/watch?v=79Wtw8vBQnI" TargetMode="External"/><Relationship Id="rId316" Type="http://schemas.openxmlformats.org/officeDocument/2006/relationships/hyperlink" Target="https://www.youtube.com/watch?v=fvyxa2xwkio" TargetMode="External"/><Relationship Id="rId523" Type="http://schemas.openxmlformats.org/officeDocument/2006/relationships/hyperlink" Target="https://www.youtube.com/watch?v=wFn7OYcRv4Y" TargetMode="External"/><Relationship Id="rId97" Type="http://schemas.openxmlformats.org/officeDocument/2006/relationships/hyperlink" Target="https://oniseptv.onisep.fr/video/les-pros-de-la-bio-technicienne-de-laboratoire" TargetMode="External"/><Relationship Id="rId730" Type="http://schemas.openxmlformats.org/officeDocument/2006/relationships/hyperlink" Target="https://www.youtube.com/watch?v=-UuEDdXJ0lg" TargetMode="External"/><Relationship Id="rId828" Type="http://schemas.openxmlformats.org/officeDocument/2006/relationships/hyperlink" Target="https://www.youtube.com/watch?v=R9F5nOzBe1c" TargetMode="External"/><Relationship Id="rId162" Type="http://schemas.openxmlformats.org/officeDocument/2006/relationships/hyperlink" Target="https://www.youtube.com/watch?v=onsUqml-E_s" TargetMode="External"/><Relationship Id="rId218" Type="http://schemas.openxmlformats.org/officeDocument/2006/relationships/hyperlink" Target="https://www.youtube.com/watch?v=EwtR6rMZDrE" TargetMode="External"/><Relationship Id="rId425" Type="http://schemas.openxmlformats.org/officeDocument/2006/relationships/hyperlink" Target="https://oreka.auvergnerhonealpes-orientation.fr/inspiration/la-tete-dans-les-planetes" TargetMode="External"/><Relationship Id="rId467" Type="http://schemas.openxmlformats.org/officeDocument/2006/relationships/hyperlink" Target="https://www.youtube.com/watch?v=RxhcvsZ4t9U" TargetMode="External"/><Relationship Id="rId632" Type="http://schemas.openxmlformats.org/officeDocument/2006/relationships/hyperlink" Target="https://www.youtube.com/watch?v=XoVgWelT2l4" TargetMode="External"/><Relationship Id="rId271" Type="http://schemas.openxmlformats.org/officeDocument/2006/relationships/hyperlink" Target="https://www.youtube.com/watch?v=okbmBWNiul4" TargetMode="External"/><Relationship Id="rId674" Type="http://schemas.openxmlformats.org/officeDocument/2006/relationships/hyperlink" Target="https://www.youtube.com/watch?v=wVlXViIC_Tk&amp;list=PLd6_t9Z4OqpWTfxjp18UuFg9AAZQLLRoI&amp;index=31" TargetMode="External"/><Relationship Id="rId24" Type="http://schemas.openxmlformats.org/officeDocument/2006/relationships/hyperlink" Target="https://www.youtube.com/watch?v=cPtyOlvvKXA" TargetMode="External"/><Relationship Id="rId66" Type="http://schemas.openxmlformats.org/officeDocument/2006/relationships/hyperlink" Target="https://www.youtube.com/watch?v=5rIjXfcgeMQ" TargetMode="External"/><Relationship Id="rId131" Type="http://schemas.openxmlformats.org/officeDocument/2006/relationships/hyperlink" Target="https://www.youtube.com/watch?v=LNEMLzlOfe8" TargetMode="External"/><Relationship Id="rId327" Type="http://schemas.openxmlformats.org/officeDocument/2006/relationships/hyperlink" Target="https://www.youtube.com/watch?v=9hVJXEAV31c" TargetMode="External"/><Relationship Id="rId369" Type="http://schemas.openxmlformats.org/officeDocument/2006/relationships/hyperlink" Target="https://oniseptv.onisep.fr/video/stephane-directeur-dassociation-mon-developpement-durable" TargetMode="External"/><Relationship Id="rId534" Type="http://schemas.openxmlformats.org/officeDocument/2006/relationships/hyperlink" Target="https://oniseptv.onisep.fr/video/directeur-dune-cooperative-vinicole" TargetMode="External"/><Relationship Id="rId576" Type="http://schemas.openxmlformats.org/officeDocument/2006/relationships/hyperlink" Target="https://www.youtube.com/watch?v=0DfTONqQP0Y" TargetMode="External"/><Relationship Id="rId741" Type="http://schemas.openxmlformats.org/officeDocument/2006/relationships/hyperlink" Target="https://www.youtube.com/watch?v=plAZxAS_y6g" TargetMode="External"/><Relationship Id="rId783" Type="http://schemas.openxmlformats.org/officeDocument/2006/relationships/hyperlink" Target="https://www.youtube.com/watch?v=XT_i9g9rcw4" TargetMode="External"/><Relationship Id="rId173" Type="http://schemas.openxmlformats.org/officeDocument/2006/relationships/hyperlink" Target="https://www.youtube.com/watch?v=W3vW5xhz2Q8" TargetMode="External"/><Relationship Id="rId229" Type="http://schemas.openxmlformats.org/officeDocument/2006/relationships/hyperlink" Target="https://www.youtube.com/watch?v=KLVNosOwq5s" TargetMode="External"/><Relationship Id="rId380" Type="http://schemas.openxmlformats.org/officeDocument/2006/relationships/hyperlink" Target="https://www.youtube.com/watch?v=T01LxX4FNYw" TargetMode="External"/><Relationship Id="rId436" Type="http://schemas.openxmlformats.org/officeDocument/2006/relationships/hyperlink" Target="https://www.youtube.com/watch?v=Gs7ui-VSsXQ" TargetMode="External"/><Relationship Id="rId601" Type="http://schemas.openxmlformats.org/officeDocument/2006/relationships/hyperlink" Target="https://www.youtube.com/watch?v=_lcPToQq5TU" TargetMode="External"/><Relationship Id="rId643" Type="http://schemas.openxmlformats.org/officeDocument/2006/relationships/hyperlink" Target="https://www.youtube.com/watch?v=2eVKr2Y6pjs" TargetMode="External"/><Relationship Id="rId240" Type="http://schemas.openxmlformats.org/officeDocument/2006/relationships/hyperlink" Target="https://www.youtube.com/watch?v=ynfv5hhpcM4" TargetMode="External"/><Relationship Id="rId478" Type="http://schemas.openxmlformats.org/officeDocument/2006/relationships/hyperlink" Target="https://www.youtube.com/watch?v=rEuTB3I2AOw" TargetMode="External"/><Relationship Id="rId685" Type="http://schemas.openxmlformats.org/officeDocument/2006/relationships/hyperlink" Target="https://www.youtube.com/watch?v=5yd9Myb-pH4&amp;list=PLd6_t9Z4OqpWTfxjp18UuFg9AAZQLLRoI&amp;index=38" TargetMode="External"/><Relationship Id="rId35" Type="http://schemas.openxmlformats.org/officeDocument/2006/relationships/hyperlink" Target="https://www.youtube.com/watch?v=l9i5Sgr_cBU" TargetMode="External"/><Relationship Id="rId77" Type="http://schemas.openxmlformats.org/officeDocument/2006/relationships/hyperlink" Target="https://www.youtube.com/watch?v=OJiNgnhcGd0" TargetMode="External"/><Relationship Id="rId100" Type="http://schemas.openxmlformats.org/officeDocument/2006/relationships/hyperlink" Target="https://www.youtube.com/watch?v=Ky5p2hmcwEg" TargetMode="External"/><Relationship Id="rId282" Type="http://schemas.openxmlformats.org/officeDocument/2006/relationships/hyperlink" Target="https://www.youtube.com/watch?v=jLb3lRa3osA" TargetMode="External"/><Relationship Id="rId338" Type="http://schemas.openxmlformats.org/officeDocument/2006/relationships/hyperlink" Target="https://www.youtube.com/watch?v=ce1-SHzgROE" TargetMode="External"/><Relationship Id="rId503" Type="http://schemas.openxmlformats.org/officeDocument/2006/relationships/hyperlink" Target="https://oniseptv.onisep.fr/video/orthophoniste_sophie" TargetMode="External"/><Relationship Id="rId545" Type="http://schemas.openxmlformats.org/officeDocument/2006/relationships/hyperlink" Target="https://www.youtube.com/watch?v=bF5LVQZLoeA" TargetMode="External"/><Relationship Id="rId587" Type="http://schemas.openxmlformats.org/officeDocument/2006/relationships/hyperlink" Target="https://www.youtube.com/watch?v=kAD_23l8ZLA" TargetMode="External"/><Relationship Id="rId710" Type="http://schemas.openxmlformats.org/officeDocument/2006/relationships/hyperlink" Target="https://www.youtube.com/watch?v=_2dtMz4YqgM" TargetMode="External"/><Relationship Id="rId752" Type="http://schemas.openxmlformats.org/officeDocument/2006/relationships/hyperlink" Target="https://www.youtube.com/watch?v=0kf2PLIyAkU" TargetMode="External"/><Relationship Id="rId808" Type="http://schemas.openxmlformats.org/officeDocument/2006/relationships/hyperlink" Target="https://www.youtube.com/watch?v=RSEcMroIj3U" TargetMode="External"/><Relationship Id="rId8" Type="http://schemas.openxmlformats.org/officeDocument/2006/relationships/hyperlink" Target="https://www.youtube.com/watch?v=VPUewvROI5g" TargetMode="External"/><Relationship Id="rId142" Type="http://schemas.openxmlformats.org/officeDocument/2006/relationships/hyperlink" Target="https://www.youtube.com/watch?v=PGZC44D-efk" TargetMode="External"/><Relationship Id="rId184" Type="http://schemas.openxmlformats.org/officeDocument/2006/relationships/hyperlink" Target="https://oniseptv.onisep.fr/video/cartographe" TargetMode="External"/><Relationship Id="rId391" Type="http://schemas.openxmlformats.org/officeDocument/2006/relationships/hyperlink" Target="https://www.youtube.com/watch?v=z8tphcVvcNY" TargetMode="External"/><Relationship Id="rId405" Type="http://schemas.openxmlformats.org/officeDocument/2006/relationships/hyperlink" Target="https://www.youtube.com/watch?v=S5dgahyRRiE" TargetMode="External"/><Relationship Id="rId447" Type="http://schemas.openxmlformats.org/officeDocument/2006/relationships/hyperlink" Target="https://www.youtube.com/watch?v=KZOY1TYeJnI" TargetMode="External"/><Relationship Id="rId612" Type="http://schemas.openxmlformats.org/officeDocument/2006/relationships/hyperlink" Target="https://www.youtube.com/watch?v=sEhXcEcy4s0" TargetMode="External"/><Relationship Id="rId794" Type="http://schemas.openxmlformats.org/officeDocument/2006/relationships/hyperlink" Target="https://www.youtube.com/watch?v=g4Ho6WtHKo0" TargetMode="External"/><Relationship Id="rId251" Type="http://schemas.openxmlformats.org/officeDocument/2006/relationships/hyperlink" Target="https://www.youtube.com/watch?v=iPZeIt2HHoU" TargetMode="External"/><Relationship Id="rId489" Type="http://schemas.openxmlformats.org/officeDocument/2006/relationships/hyperlink" Target="https://www.youtube.com/watch?v=zsFJ5gTfQ70" TargetMode="External"/><Relationship Id="rId654" Type="http://schemas.openxmlformats.org/officeDocument/2006/relationships/hyperlink" Target="https://www.youtube.com/watch?v=lit-vhytPdo" TargetMode="External"/><Relationship Id="rId696" Type="http://schemas.openxmlformats.org/officeDocument/2006/relationships/hyperlink" Target="https://www.youtube.com/watch?v=kei3zAKjm04" TargetMode="External"/><Relationship Id="rId46" Type="http://schemas.openxmlformats.org/officeDocument/2006/relationships/hyperlink" Target="https://www.youtube.com/watch?v=7b3nlaX7m0Y" TargetMode="External"/><Relationship Id="rId293" Type="http://schemas.openxmlformats.org/officeDocument/2006/relationships/hyperlink" Target="https://oniseptv.onisep.fr/video/educateur-specialise-unite-educative-hebergement-diversifie" TargetMode="External"/><Relationship Id="rId307" Type="http://schemas.openxmlformats.org/officeDocument/2006/relationships/hyperlink" Target="https://oniseptv.onisep.fr/video/osteopathe" TargetMode="External"/><Relationship Id="rId349" Type="http://schemas.openxmlformats.org/officeDocument/2006/relationships/hyperlink" Target="https://www.youtube.com/watch?v=-AdeCXuU59w" TargetMode="External"/><Relationship Id="rId514" Type="http://schemas.openxmlformats.org/officeDocument/2006/relationships/hyperlink" Target="https://www.youtube.com/watch?v=TC7LMWqRqcQ" TargetMode="External"/><Relationship Id="rId556" Type="http://schemas.openxmlformats.org/officeDocument/2006/relationships/hyperlink" Target="https://www.youtube.com/watch?v=wUs1e7i8hfg" TargetMode="External"/><Relationship Id="rId721" Type="http://schemas.openxmlformats.org/officeDocument/2006/relationships/hyperlink" Target="https://www.youtube.com/watch?v=vQoWAhCUMOw" TargetMode="External"/><Relationship Id="rId763" Type="http://schemas.openxmlformats.org/officeDocument/2006/relationships/hyperlink" Target="https://www.youtube.com/watch?v=8PZr4d4yN-w" TargetMode="External"/><Relationship Id="rId88" Type="http://schemas.openxmlformats.org/officeDocument/2006/relationships/hyperlink" Target="https://www.youtube.com/watch?v=CPSFay5S5b0" TargetMode="External"/><Relationship Id="rId111" Type="http://schemas.openxmlformats.org/officeDocument/2006/relationships/hyperlink" Target="https://www.youtube.com/watch?v=IsFjPsR7Sa8" TargetMode="External"/><Relationship Id="rId153" Type="http://schemas.openxmlformats.org/officeDocument/2006/relationships/hyperlink" Target="https://www.youtube.com/watch?v=uWAyAU-GmlA" TargetMode="External"/><Relationship Id="rId195" Type="http://schemas.openxmlformats.org/officeDocument/2006/relationships/hyperlink" Target="https://oniseptv.onisep.fr/video/technicienne-de-recherche" TargetMode="External"/><Relationship Id="rId209" Type="http://schemas.openxmlformats.org/officeDocument/2006/relationships/hyperlink" Target="https://www.youtube.com/watch?v=8wfaiuf87OQ" TargetMode="External"/><Relationship Id="rId360" Type="http://schemas.openxmlformats.org/officeDocument/2006/relationships/hyperlink" Target="https://www.youtube.com/watch?v=toz9Ilo5om0" TargetMode="External"/><Relationship Id="rId416" Type="http://schemas.openxmlformats.org/officeDocument/2006/relationships/hyperlink" Target="https://www.youtube.com/watch?v=lMdeCyj6vqA" TargetMode="External"/><Relationship Id="rId598" Type="http://schemas.openxmlformats.org/officeDocument/2006/relationships/hyperlink" Target="https://www.youtube.com/watch?v=dzNKEP8ffOQ" TargetMode="External"/><Relationship Id="rId819" Type="http://schemas.openxmlformats.org/officeDocument/2006/relationships/hyperlink" Target="https://www.youtube.com/watch?v=wdePhyMkHAA" TargetMode="External"/><Relationship Id="rId220" Type="http://schemas.openxmlformats.org/officeDocument/2006/relationships/hyperlink" Target="https://www.youtube.com/watch?v=efa9HX_gJQA" TargetMode="External"/><Relationship Id="rId458" Type="http://schemas.openxmlformats.org/officeDocument/2006/relationships/hyperlink" Target="https://www.youtube.com/watch?v=MCpBT_U8daQ" TargetMode="External"/><Relationship Id="rId623" Type="http://schemas.openxmlformats.org/officeDocument/2006/relationships/hyperlink" Target="https://www.youtube.com/watch?v=1H1ItTAvc0Y" TargetMode="External"/><Relationship Id="rId665" Type="http://schemas.openxmlformats.org/officeDocument/2006/relationships/hyperlink" Target="https://www.youtube.com/watch?v=ZeDe1w8fhzM&amp;list=PLd6_t9Z4OqpWTfxjp18UuFg9AAZQLLRoI&amp;index=24" TargetMode="External"/><Relationship Id="rId830" Type="http://schemas.openxmlformats.org/officeDocument/2006/relationships/hyperlink" Target="https://www.youtube.com/watch?v=YXpXPBySnUs" TargetMode="External"/><Relationship Id="rId15" Type="http://schemas.openxmlformats.org/officeDocument/2006/relationships/hyperlink" Target="https://www.youtube.com/watch?v=QdBJ3o3SMS0" TargetMode="External"/><Relationship Id="rId57" Type="http://schemas.openxmlformats.org/officeDocument/2006/relationships/hyperlink" Target="https://www.youtube.com/watch?v=I1A9woKs6fo" TargetMode="External"/><Relationship Id="rId262" Type="http://schemas.openxmlformats.org/officeDocument/2006/relationships/hyperlink" Target="https://oniseptv.onisep.fr/video/pharmacien-en-officine" TargetMode="External"/><Relationship Id="rId318" Type="http://schemas.openxmlformats.org/officeDocument/2006/relationships/hyperlink" Target="https://www.youtube.com/watch?v=oTyCq8Onhac" TargetMode="External"/><Relationship Id="rId525" Type="http://schemas.openxmlformats.org/officeDocument/2006/relationships/hyperlink" Target="https://www.youtube.com/watch?v=gvYJYcmnDVg" TargetMode="External"/><Relationship Id="rId567" Type="http://schemas.openxmlformats.org/officeDocument/2006/relationships/hyperlink" Target="https://www.youtube.com/watch?v=JxaWC2kX0Jw" TargetMode="External"/><Relationship Id="rId732" Type="http://schemas.openxmlformats.org/officeDocument/2006/relationships/hyperlink" Target="https://www.youtube.com/watch?v=GtS6g5f9k3g" TargetMode="External"/><Relationship Id="rId99" Type="http://schemas.openxmlformats.org/officeDocument/2006/relationships/hyperlink" Target="https://www.youtube.com/watch?v=-YrajFuEJxM" TargetMode="External"/><Relationship Id="rId122" Type="http://schemas.openxmlformats.org/officeDocument/2006/relationships/hyperlink" Target="https://www.youtube.com/watch?v=ms0dHBXxe94&amp;t=44s" TargetMode="External"/><Relationship Id="rId164" Type="http://schemas.openxmlformats.org/officeDocument/2006/relationships/hyperlink" Target="https://www.youtube.com/watch?v=O2XxW6L2jw0" TargetMode="External"/><Relationship Id="rId371" Type="http://schemas.openxmlformats.org/officeDocument/2006/relationships/hyperlink" Target="https://oniseptv.onisep.fr/video/le-parcours-de-jerome-redacteur-en-chef" TargetMode="External"/><Relationship Id="rId774" Type="http://schemas.openxmlformats.org/officeDocument/2006/relationships/hyperlink" Target="https://www.youtube.com/watch?v=XW4PC-eSWuU" TargetMode="External"/><Relationship Id="rId427" Type="http://schemas.openxmlformats.org/officeDocument/2006/relationships/hyperlink" Target="https://www.youtube.com/watch?v=PkW1osru17M" TargetMode="External"/><Relationship Id="rId469" Type="http://schemas.openxmlformats.org/officeDocument/2006/relationships/hyperlink" Target="https://www.youtube.com/watch?v=-821mQFAGCs" TargetMode="External"/><Relationship Id="rId634" Type="http://schemas.openxmlformats.org/officeDocument/2006/relationships/hyperlink" Target="https://www.youtube.com/watch?v=Cbo7pvQwJs8" TargetMode="External"/><Relationship Id="rId676" Type="http://schemas.openxmlformats.org/officeDocument/2006/relationships/hyperlink" Target="https://www.youtube.com/watch?v=M0KeRuxi1Rs&amp;list=PLd6_t9Z4OqpWTfxjp18UuFg9AAZQLLRoI&amp;index=32" TargetMode="External"/><Relationship Id="rId26" Type="http://schemas.openxmlformats.org/officeDocument/2006/relationships/hyperlink" Target="https://www.youtube.com/watch?v=DLBbMjfCY6I" TargetMode="External"/><Relationship Id="rId231" Type="http://schemas.openxmlformats.org/officeDocument/2006/relationships/hyperlink" Target="https://www.youtube.com/watch?v=Z0w7P4P768M" TargetMode="External"/><Relationship Id="rId273" Type="http://schemas.openxmlformats.org/officeDocument/2006/relationships/hyperlink" Target="https://oniseptv.onisep.fr/video/technicien-de-maintenance-dans-lindustrie-pharmaceutique" TargetMode="External"/><Relationship Id="rId329" Type="http://schemas.openxmlformats.org/officeDocument/2006/relationships/hyperlink" Target="https://www.youtube.com/watch?v=GW-gn7YWr3Q" TargetMode="External"/><Relationship Id="rId480" Type="http://schemas.openxmlformats.org/officeDocument/2006/relationships/hyperlink" Target="https://oniseptv.onisep.fr/video/le-metier-d-eva-audioprothesiste" TargetMode="External"/><Relationship Id="rId536" Type="http://schemas.openxmlformats.org/officeDocument/2006/relationships/hyperlink" Target="https://www.youtube.com/watch?v=ueOv-DhBDJA" TargetMode="External"/><Relationship Id="rId701" Type="http://schemas.openxmlformats.org/officeDocument/2006/relationships/hyperlink" Target="https://www.youtube.com/watch?v=3dW0ZzLbt_8" TargetMode="External"/><Relationship Id="rId68" Type="http://schemas.openxmlformats.org/officeDocument/2006/relationships/hyperlink" Target="https://www.youtube.com/watch?v=tAqCBfoH1MA" TargetMode="External"/><Relationship Id="rId133" Type="http://schemas.openxmlformats.org/officeDocument/2006/relationships/hyperlink" Target="https://www.youtube.com/watch?v=ym3_c2bVQC4" TargetMode="External"/><Relationship Id="rId175" Type="http://schemas.openxmlformats.org/officeDocument/2006/relationships/hyperlink" Target="https://www.youtube.com/watch?v=ylcqNGTrxl0" TargetMode="External"/><Relationship Id="rId340" Type="http://schemas.openxmlformats.org/officeDocument/2006/relationships/hyperlink" Target="https://www.youtube.com/watch?v=UCeGh6fNmc4" TargetMode="External"/><Relationship Id="rId578" Type="http://schemas.openxmlformats.org/officeDocument/2006/relationships/hyperlink" Target="https://www.youtube.com/watch?v=pHgFhTQiTSE" TargetMode="External"/><Relationship Id="rId743" Type="http://schemas.openxmlformats.org/officeDocument/2006/relationships/hyperlink" Target="https://www.youtube.com/watch?v=IPh0XdQ3fFc" TargetMode="External"/><Relationship Id="rId785" Type="http://schemas.openxmlformats.org/officeDocument/2006/relationships/hyperlink" Target="https://www.youtube.com/watch?v=wg4PkrDUefs" TargetMode="External"/><Relationship Id="rId200" Type="http://schemas.openxmlformats.org/officeDocument/2006/relationships/hyperlink" Target="https://www.youtube.com/watch?v=foe16S5Bh5U" TargetMode="External"/><Relationship Id="rId382" Type="http://schemas.openxmlformats.org/officeDocument/2006/relationships/hyperlink" Target="https://www.youtube.com/watch?v=zPcvOtyCtx0" TargetMode="External"/><Relationship Id="rId438" Type="http://schemas.openxmlformats.org/officeDocument/2006/relationships/hyperlink" Target="https://www.youtube.com/watch?v=6doNtSDKKyg" TargetMode="External"/><Relationship Id="rId603" Type="http://schemas.openxmlformats.org/officeDocument/2006/relationships/hyperlink" Target="https://www.youtube.com/watch?v=OMlGelNNLw0" TargetMode="External"/><Relationship Id="rId645" Type="http://schemas.openxmlformats.org/officeDocument/2006/relationships/hyperlink" Target="https://www.youtube.com/watch?v=Ap-aey94vsQ" TargetMode="External"/><Relationship Id="rId687" Type="http://schemas.openxmlformats.org/officeDocument/2006/relationships/hyperlink" Target="https://www.youtube.com/watch?v=4p8Lq4r0Ugs" TargetMode="External"/><Relationship Id="rId810" Type="http://schemas.openxmlformats.org/officeDocument/2006/relationships/hyperlink" Target="https://www.youtube.com/watch?v=HlnYxqvJ2V8" TargetMode="External"/><Relationship Id="rId242" Type="http://schemas.openxmlformats.org/officeDocument/2006/relationships/hyperlink" Target="https://www.youtube.com/watch?v=uBSvpIqRtdo" TargetMode="External"/><Relationship Id="rId284" Type="http://schemas.openxmlformats.org/officeDocument/2006/relationships/hyperlink" Target="https://oniseptv.onisep.fr/video/garde_d_espaces_naturels-mp4" TargetMode="External"/><Relationship Id="rId491" Type="http://schemas.openxmlformats.org/officeDocument/2006/relationships/hyperlink" Target="https://oniseptv.onisep.fr/video/infimiere-en-hospitalisation-a-domicile" TargetMode="External"/><Relationship Id="rId505" Type="http://schemas.openxmlformats.org/officeDocument/2006/relationships/hyperlink" Target="https://oniseptv.onisep.fr/video/psychomotricienne" TargetMode="External"/><Relationship Id="rId712" Type="http://schemas.openxmlformats.org/officeDocument/2006/relationships/hyperlink" Target="https://www.youtube.com/watch?v=5hefKiIKiAM" TargetMode="External"/><Relationship Id="rId37" Type="http://schemas.openxmlformats.org/officeDocument/2006/relationships/hyperlink" Target="https://www.youtube.com/watch?v=-_s0rvHvjtA" TargetMode="External"/><Relationship Id="rId79" Type="http://schemas.openxmlformats.org/officeDocument/2006/relationships/hyperlink" Target="https://www.youtube.com/watch?v=xwWwTFyNW_0" TargetMode="External"/><Relationship Id="rId102" Type="http://schemas.openxmlformats.org/officeDocument/2006/relationships/hyperlink" Target="https://www.youtube.com/watch?v=5xNYGKTJ3pc" TargetMode="External"/><Relationship Id="rId144" Type="http://schemas.openxmlformats.org/officeDocument/2006/relationships/hyperlink" Target="https://www.youtube.com/watch?v=dQuOi5P0hU8" TargetMode="External"/><Relationship Id="rId547" Type="http://schemas.openxmlformats.org/officeDocument/2006/relationships/hyperlink" Target="https://www.youtube.com/watch?v=ol7TCJmcswI" TargetMode="External"/><Relationship Id="rId589" Type="http://schemas.openxmlformats.org/officeDocument/2006/relationships/hyperlink" Target="https://www.youtube.com/watch?v=-O06heZgKSA" TargetMode="External"/><Relationship Id="rId754" Type="http://schemas.openxmlformats.org/officeDocument/2006/relationships/hyperlink" Target="https://www.youtube.com/watch?v=gf2ATODlTJg" TargetMode="External"/><Relationship Id="rId796" Type="http://schemas.openxmlformats.org/officeDocument/2006/relationships/hyperlink" Target="https://www.youtube.com/watch?v=-22FyZAuNN0" TargetMode="External"/><Relationship Id="rId90" Type="http://schemas.openxmlformats.org/officeDocument/2006/relationships/hyperlink" Target="https://www.youtube.com/watch?v=Z-6RljNhoEU" TargetMode="External"/><Relationship Id="rId186" Type="http://schemas.openxmlformats.org/officeDocument/2006/relationships/hyperlink" Target="https://oniseptv.onisep.fr/video/referent-bim" TargetMode="External"/><Relationship Id="rId351" Type="http://schemas.openxmlformats.org/officeDocument/2006/relationships/hyperlink" Target="https://www.youtube.com/watch?v=lTVr-xE6fTU" TargetMode="External"/><Relationship Id="rId393" Type="http://schemas.openxmlformats.org/officeDocument/2006/relationships/hyperlink" Target="https://www.youtube.com/watch?v=YwfQhOqAwkA" TargetMode="External"/><Relationship Id="rId407" Type="http://schemas.openxmlformats.org/officeDocument/2006/relationships/hyperlink" Target="https://www.youtube.com/watch?v=mZV5eTLkPuo" TargetMode="External"/><Relationship Id="rId449" Type="http://schemas.openxmlformats.org/officeDocument/2006/relationships/hyperlink" Target="https://oniseptv.onisep.fr/video/moniteur-de-canyon" TargetMode="External"/><Relationship Id="rId614" Type="http://schemas.openxmlformats.org/officeDocument/2006/relationships/hyperlink" Target="https://oniseptv.onisep.fr/video/responsable-dequipe-de-production-agroalimentaire" TargetMode="External"/><Relationship Id="rId656" Type="http://schemas.openxmlformats.org/officeDocument/2006/relationships/hyperlink" Target="https://www.youtube.com/watch?v=yovgTHJw2cM" TargetMode="External"/><Relationship Id="rId821" Type="http://schemas.openxmlformats.org/officeDocument/2006/relationships/hyperlink" Target="https://www.youtube.com/watch?v=Fg7GfzEebH8" TargetMode="External"/><Relationship Id="rId211" Type="http://schemas.openxmlformats.org/officeDocument/2006/relationships/hyperlink" Target="https://www.youtube.com/watch?v=NSGMmQZ2wq8" TargetMode="External"/><Relationship Id="rId253" Type="http://schemas.openxmlformats.org/officeDocument/2006/relationships/hyperlink" Target="https://www.youtube.com/watch?v=CKDB5E3NbvM" TargetMode="External"/><Relationship Id="rId295" Type="http://schemas.openxmlformats.org/officeDocument/2006/relationships/hyperlink" Target="https://www.youtube.com/watch?v=KO7Q000nXTI" TargetMode="External"/><Relationship Id="rId309" Type="http://schemas.openxmlformats.org/officeDocument/2006/relationships/hyperlink" Target="https://www.youtube.com/watch?v=ZRYAu4l6S6A" TargetMode="External"/><Relationship Id="rId460" Type="http://schemas.openxmlformats.org/officeDocument/2006/relationships/hyperlink" Target="https://www.youtube.com/watch?v=1iMZiwARv8A" TargetMode="External"/><Relationship Id="rId516" Type="http://schemas.openxmlformats.org/officeDocument/2006/relationships/hyperlink" Target="https://www.youtube.com/watch?v=mU9fyxjwUeA" TargetMode="External"/><Relationship Id="rId698" Type="http://schemas.openxmlformats.org/officeDocument/2006/relationships/hyperlink" Target="https://www.youtube.com/watch?v=_ddfEccTiRU" TargetMode="External"/><Relationship Id="rId48" Type="http://schemas.openxmlformats.org/officeDocument/2006/relationships/hyperlink" Target="https://www.youtube.com/watch?v=tkKmqog5sJc" TargetMode="External"/><Relationship Id="rId113" Type="http://schemas.openxmlformats.org/officeDocument/2006/relationships/hyperlink" Target="https://www.youtube.com/watch?v=KRdNXkMIyj4" TargetMode="External"/><Relationship Id="rId320" Type="http://schemas.openxmlformats.org/officeDocument/2006/relationships/hyperlink" Target="https://www.youtube.com/watch?v=l7AaEl0HP5Y&amp;list=PLEnK6o7pdzkdILDqGqkB2bKKHCrxBewbF&amp;index=3" TargetMode="External"/><Relationship Id="rId558" Type="http://schemas.openxmlformats.org/officeDocument/2006/relationships/hyperlink" Target="https://www.youtube.com/watch?v=ObmqXo7aId0" TargetMode="External"/><Relationship Id="rId723" Type="http://schemas.openxmlformats.org/officeDocument/2006/relationships/hyperlink" Target="https://www.youtube.com/watch?v=QKOkQNJfNu4" TargetMode="External"/><Relationship Id="rId765" Type="http://schemas.openxmlformats.org/officeDocument/2006/relationships/hyperlink" Target="https://www.youtube.com/watch?v=iLE4QkQSooM" TargetMode="External"/><Relationship Id="rId155" Type="http://schemas.openxmlformats.org/officeDocument/2006/relationships/hyperlink" Target="https://www.youtube.com/watch?v=S-9q-h7SC3U" TargetMode="External"/><Relationship Id="rId197" Type="http://schemas.openxmlformats.org/officeDocument/2006/relationships/hyperlink" Target="https://oniseptv.onisep.fr/video/previsionniste-meteo" TargetMode="External"/><Relationship Id="rId362" Type="http://schemas.openxmlformats.org/officeDocument/2006/relationships/hyperlink" Target="https://oniseptv.onisep.fr/video/paysagiste-concepteur" TargetMode="External"/><Relationship Id="rId418" Type="http://schemas.openxmlformats.org/officeDocument/2006/relationships/hyperlink" Target="https://www.youtube.com/watch?v=N1b56lXYJ2o" TargetMode="External"/><Relationship Id="rId625" Type="http://schemas.openxmlformats.org/officeDocument/2006/relationships/hyperlink" Target="https://www.youtube.com/watch?v=S-Op79N_Brk" TargetMode="External"/><Relationship Id="rId832" Type="http://schemas.openxmlformats.org/officeDocument/2006/relationships/hyperlink" Target="https://www.youtube.com/watch?v=YXpXPBySnUs" TargetMode="External"/><Relationship Id="rId222" Type="http://schemas.openxmlformats.org/officeDocument/2006/relationships/hyperlink" Target="https://www.youtube.com/watch?v=jadSXkwzXr0" TargetMode="External"/><Relationship Id="rId264" Type="http://schemas.openxmlformats.org/officeDocument/2006/relationships/hyperlink" Target="https://oniseptv.onisep.fr/video/pharmacienne-industrielle" TargetMode="External"/><Relationship Id="rId471" Type="http://schemas.openxmlformats.org/officeDocument/2006/relationships/hyperlink" Target="https://oniseptv.onisep.fr/video/medecin-urgentiste-hopital" TargetMode="External"/><Relationship Id="rId667" Type="http://schemas.openxmlformats.org/officeDocument/2006/relationships/hyperlink" Target="https://www.youtube.com/watch?v=bV3XsX4PH9E&amp;list=PLd6_t9Z4OqpWTfxjp18UuFg9AAZQLLRoI&amp;index=26" TargetMode="External"/><Relationship Id="rId17" Type="http://schemas.openxmlformats.org/officeDocument/2006/relationships/hyperlink" Target="https://www.youtube.com/watch?v=2QCDh5bpBAU" TargetMode="External"/><Relationship Id="rId59" Type="http://schemas.openxmlformats.org/officeDocument/2006/relationships/hyperlink" Target="https://www.youtube.com/watch?v=o2QW2Ectnm0" TargetMode="External"/><Relationship Id="rId124" Type="http://schemas.openxmlformats.org/officeDocument/2006/relationships/hyperlink" Target="https://www.youtube.com/watch?v=BJEGkElc2Os" TargetMode="External"/><Relationship Id="rId527" Type="http://schemas.openxmlformats.org/officeDocument/2006/relationships/hyperlink" Target="https://www.youtube.com/watch?v=Tn0gGKZPvrc" TargetMode="External"/><Relationship Id="rId569" Type="http://schemas.openxmlformats.org/officeDocument/2006/relationships/hyperlink" Target="https://www.youtube.com/watch?v=QdBJ3o3SMS0" TargetMode="External"/><Relationship Id="rId734" Type="http://schemas.openxmlformats.org/officeDocument/2006/relationships/hyperlink" Target="https://www.youtube.com/watch?v=3B6HxPIomXU" TargetMode="External"/><Relationship Id="rId776" Type="http://schemas.openxmlformats.org/officeDocument/2006/relationships/hyperlink" Target="https://www.youtube.com/watch?v=fq4aqLm5T7Q" TargetMode="External"/><Relationship Id="rId70" Type="http://schemas.openxmlformats.org/officeDocument/2006/relationships/hyperlink" Target="https://www.youtube.com/watch?v=FXtRUZyxDjA" TargetMode="External"/><Relationship Id="rId166" Type="http://schemas.openxmlformats.org/officeDocument/2006/relationships/hyperlink" Target="https://www.youtube.com/watch?v=8iFQXTZl11E" TargetMode="External"/><Relationship Id="rId331" Type="http://schemas.openxmlformats.org/officeDocument/2006/relationships/hyperlink" Target="https://www.youtube.com/watch?v=DhF7lRLGob0" TargetMode="External"/><Relationship Id="rId373" Type="http://schemas.openxmlformats.org/officeDocument/2006/relationships/hyperlink" Target="https://www.youtube.com/watch?v=eocsFIqfgv0" TargetMode="External"/><Relationship Id="rId429" Type="http://schemas.openxmlformats.org/officeDocument/2006/relationships/hyperlink" Target="https://www.youtube.com/watch?v=Y94QjwNHSSY" TargetMode="External"/><Relationship Id="rId580" Type="http://schemas.openxmlformats.org/officeDocument/2006/relationships/hyperlink" Target="https://www.youtube.com/watch?v=jOL7meF1COw" TargetMode="External"/><Relationship Id="rId636" Type="http://schemas.openxmlformats.org/officeDocument/2006/relationships/hyperlink" Target="https://www.youtube.com/watch?v=S6ZssW3ZolI" TargetMode="External"/><Relationship Id="rId801" Type="http://schemas.openxmlformats.org/officeDocument/2006/relationships/hyperlink" Target="https://www.youtube.com/watch?v=xtXXsMkJnBI" TargetMode="External"/><Relationship Id="rId1" Type="http://schemas.openxmlformats.org/officeDocument/2006/relationships/hyperlink" Target="https://www.youtube.com/watch?v=MdNZvWa8mDI" TargetMode="External"/><Relationship Id="rId233" Type="http://schemas.openxmlformats.org/officeDocument/2006/relationships/hyperlink" Target="https://www.youtube.com/watch?v=NNrkHXV_OZM" TargetMode="External"/><Relationship Id="rId440" Type="http://schemas.openxmlformats.org/officeDocument/2006/relationships/hyperlink" Target="https://oniseptv.onisep.fr/video/preparateur-physique-dans-le-football" TargetMode="External"/><Relationship Id="rId678" Type="http://schemas.openxmlformats.org/officeDocument/2006/relationships/hyperlink" Target="https://www.youtube.com/watch?v=oVmOc-WTN0E&amp;list=PLd6_t9Z4OqpWTfxjp18UuFg9AAZQLLRoI&amp;index=33" TargetMode="External"/><Relationship Id="rId28" Type="http://schemas.openxmlformats.org/officeDocument/2006/relationships/hyperlink" Target="https://oniseptv.onisep.fr/video/theo-animateur-nature" TargetMode="External"/><Relationship Id="rId275" Type="http://schemas.openxmlformats.org/officeDocument/2006/relationships/hyperlink" Target="https://www.youtube.com/watch?v=TtOg_lGn15U" TargetMode="External"/><Relationship Id="rId300" Type="http://schemas.openxmlformats.org/officeDocument/2006/relationships/hyperlink" Target="https://oniseptv.onisep.fr/video/chargee-de-la-responsabilite-sociale-et-environnementale-d-un-opera" TargetMode="External"/><Relationship Id="rId482" Type="http://schemas.openxmlformats.org/officeDocument/2006/relationships/hyperlink" Target="https://www.youtube.com/watch?v=-FNkd5uz4k0" TargetMode="External"/><Relationship Id="rId538" Type="http://schemas.openxmlformats.org/officeDocument/2006/relationships/hyperlink" Target="https://www.youtube.com/watch?v=vAToXi38shs" TargetMode="External"/><Relationship Id="rId703" Type="http://schemas.openxmlformats.org/officeDocument/2006/relationships/hyperlink" Target="https://www.youtube.com/watch?v=mVPHKt-QMaA" TargetMode="External"/><Relationship Id="rId745" Type="http://schemas.openxmlformats.org/officeDocument/2006/relationships/hyperlink" Target="https://www.youtube.com/watch?v=Za7HE-ZXzNU" TargetMode="External"/><Relationship Id="rId81" Type="http://schemas.openxmlformats.org/officeDocument/2006/relationships/hyperlink" Target="https://www.youtube.com/watch?v=MU88onQd62c" TargetMode="External"/><Relationship Id="rId135" Type="http://schemas.openxmlformats.org/officeDocument/2006/relationships/hyperlink" Target="https://www.youtube.com/shorts/A4UE9u3tsTw" TargetMode="External"/><Relationship Id="rId177" Type="http://schemas.openxmlformats.org/officeDocument/2006/relationships/hyperlink" Target="https://www.youtube.com/watch?v=XWrRMW_HvZE" TargetMode="External"/><Relationship Id="rId342" Type="http://schemas.openxmlformats.org/officeDocument/2006/relationships/hyperlink" Target="https://www.youtube.com/watch?v=SekFw_rjYBs" TargetMode="External"/><Relationship Id="rId384" Type="http://schemas.openxmlformats.org/officeDocument/2006/relationships/hyperlink" Target="https://www.youtube.com/watch?v=XX6pE_FPn_Y" TargetMode="External"/><Relationship Id="rId591" Type="http://schemas.openxmlformats.org/officeDocument/2006/relationships/hyperlink" Target="https://www.youtube.com/watch?v=jKhxhJ1wgU4" TargetMode="External"/><Relationship Id="rId605" Type="http://schemas.openxmlformats.org/officeDocument/2006/relationships/hyperlink" Target="https://www.youtube.com/watch?v=R15a9sBItr0" TargetMode="External"/><Relationship Id="rId787" Type="http://schemas.openxmlformats.org/officeDocument/2006/relationships/hyperlink" Target="https://www.youtube.com/watch?v=ttDDskif6l4" TargetMode="External"/><Relationship Id="rId812" Type="http://schemas.openxmlformats.org/officeDocument/2006/relationships/hyperlink" Target="https://www.youtube.com/watch?v=S7vkvWhTvr4" TargetMode="External"/><Relationship Id="rId202" Type="http://schemas.openxmlformats.org/officeDocument/2006/relationships/hyperlink" Target="https://oniseptv.onisep.fr/video/meteorologiste-conseil-en-aeronautique" TargetMode="External"/><Relationship Id="rId244" Type="http://schemas.openxmlformats.org/officeDocument/2006/relationships/hyperlink" Target="https://www.youtube.com/watch?v=yvxtTg8USCg" TargetMode="External"/><Relationship Id="rId647" Type="http://schemas.openxmlformats.org/officeDocument/2006/relationships/hyperlink" Target="https://www.youtube.com/watch?v=atfeXQ6tGjw" TargetMode="External"/><Relationship Id="rId689" Type="http://schemas.openxmlformats.org/officeDocument/2006/relationships/hyperlink" Target="https://www.youtube.com/watch?v=iNWMjvzB7e0" TargetMode="External"/><Relationship Id="rId39" Type="http://schemas.openxmlformats.org/officeDocument/2006/relationships/hyperlink" Target="https://www.youtube.com/watch?v=ol7TCJmcswI" TargetMode="External"/><Relationship Id="rId286" Type="http://schemas.openxmlformats.org/officeDocument/2006/relationships/hyperlink" Target="https://oniseptv.onisep.fr/video/agent-e-d-039-evaluation-du-comportement" TargetMode="External"/><Relationship Id="rId451" Type="http://schemas.openxmlformats.org/officeDocument/2006/relationships/hyperlink" Target="https://oniseptv.onisep.fr/video/monitrice-dequitation" TargetMode="External"/><Relationship Id="rId493" Type="http://schemas.openxmlformats.org/officeDocument/2006/relationships/hyperlink" Target="https://oniseptv.onisep.fr/video/infirmier-scolaire" TargetMode="External"/><Relationship Id="rId507" Type="http://schemas.openxmlformats.org/officeDocument/2006/relationships/hyperlink" Target="https://www.youtube.com/watch?v=fPIrAtiwj6E" TargetMode="External"/><Relationship Id="rId549" Type="http://schemas.openxmlformats.org/officeDocument/2006/relationships/hyperlink" Target="https://www.youtube.com/watch?v=6vZcVAWruh8" TargetMode="External"/><Relationship Id="rId714" Type="http://schemas.openxmlformats.org/officeDocument/2006/relationships/hyperlink" Target="https://www.youtube.com/watch?v=8Pi4f8eImak" TargetMode="External"/><Relationship Id="rId756" Type="http://schemas.openxmlformats.org/officeDocument/2006/relationships/hyperlink" Target="https://www.youtube.com/watch?v=e0icP82D9WI" TargetMode="External"/><Relationship Id="rId50" Type="http://schemas.openxmlformats.org/officeDocument/2006/relationships/hyperlink" Target="https://www.youtube.com/watch?v=i7P0chS45rA" TargetMode="External"/><Relationship Id="rId104" Type="http://schemas.openxmlformats.org/officeDocument/2006/relationships/hyperlink" Target="https://www.youtube.com/watch?v=FPN1Afjo0Ss" TargetMode="External"/><Relationship Id="rId146" Type="http://schemas.openxmlformats.org/officeDocument/2006/relationships/hyperlink" Target="https://www.youtube.com/watch?v=KRdNXkMIyj4" TargetMode="External"/><Relationship Id="rId188" Type="http://schemas.openxmlformats.org/officeDocument/2006/relationships/hyperlink" Target="https://www.youtube.com/watch?v=FmMAzl6Ty70" TargetMode="External"/><Relationship Id="rId311" Type="http://schemas.openxmlformats.org/officeDocument/2006/relationships/hyperlink" Target="https://www.youtube.com/watch?v=MikO5HlkUSA" TargetMode="External"/><Relationship Id="rId353" Type="http://schemas.openxmlformats.org/officeDocument/2006/relationships/hyperlink" Target="https://oniseptv.onisep.fr/video/responsable-d-exploitation-de-l-eau" TargetMode="External"/><Relationship Id="rId395" Type="http://schemas.openxmlformats.org/officeDocument/2006/relationships/hyperlink" Target="https://www.youtube.com/watch?v=6aiFlOEBw_g" TargetMode="External"/><Relationship Id="rId409" Type="http://schemas.openxmlformats.org/officeDocument/2006/relationships/hyperlink" Target="https://www.youtube.com/watch?v=WShV2Zxvt4Q" TargetMode="External"/><Relationship Id="rId560" Type="http://schemas.openxmlformats.org/officeDocument/2006/relationships/hyperlink" Target="https://www.youtube.com/watch?v=4-Ukx2veXMo" TargetMode="External"/><Relationship Id="rId798" Type="http://schemas.openxmlformats.org/officeDocument/2006/relationships/hyperlink" Target="https://www.youtube.com/watch?v=I_SKxoySCLU" TargetMode="External"/><Relationship Id="rId92" Type="http://schemas.openxmlformats.org/officeDocument/2006/relationships/hyperlink" Target="https://www.youtube.com/watch?v=OgOFq-iRuUY" TargetMode="External"/><Relationship Id="rId213" Type="http://schemas.openxmlformats.org/officeDocument/2006/relationships/hyperlink" Target="https://oniseptv.onisep.fr/video/neurochirurgienne-hopital" TargetMode="External"/><Relationship Id="rId420" Type="http://schemas.openxmlformats.org/officeDocument/2006/relationships/hyperlink" Target="https://www.youtube.com/watch?v=hPfbZvRqgi8" TargetMode="External"/><Relationship Id="rId616" Type="http://schemas.openxmlformats.org/officeDocument/2006/relationships/hyperlink" Target="https://oniseptv.onisep.fr/video/responsable-de-production-alimentaire" TargetMode="External"/><Relationship Id="rId658" Type="http://schemas.openxmlformats.org/officeDocument/2006/relationships/hyperlink" Target="https://www.youtube.com/watch?v=hiPoydU82ok&amp;t=30s" TargetMode="External"/><Relationship Id="rId823" Type="http://schemas.openxmlformats.org/officeDocument/2006/relationships/hyperlink" Target="https://www.youtube.com/watch?v=kFVTujxnotM" TargetMode="External"/><Relationship Id="rId255" Type="http://schemas.openxmlformats.org/officeDocument/2006/relationships/hyperlink" Target="https://www.youtube.com/watch?v=qK9I_DXL9XI" TargetMode="External"/><Relationship Id="rId297" Type="http://schemas.openxmlformats.org/officeDocument/2006/relationships/hyperlink" Target="https://www.youtube.com/watch?v=MzAkBY4jZ2k" TargetMode="External"/><Relationship Id="rId462" Type="http://schemas.openxmlformats.org/officeDocument/2006/relationships/hyperlink" Target="https://www.youtube.com/watch?v=ZGzRfFtq3Qo" TargetMode="External"/><Relationship Id="rId518" Type="http://schemas.openxmlformats.org/officeDocument/2006/relationships/hyperlink" Target="https://www.youtube.com/watch?v=ksueXhuAqIg" TargetMode="External"/><Relationship Id="rId725" Type="http://schemas.openxmlformats.org/officeDocument/2006/relationships/hyperlink" Target="https://www.youtube.com/watch?v=nNr7_vJAqEs" TargetMode="External"/><Relationship Id="rId115" Type="http://schemas.openxmlformats.org/officeDocument/2006/relationships/hyperlink" Target="https://www.youtube.com/watch?v=E8eASjilSXw" TargetMode="External"/><Relationship Id="rId157" Type="http://schemas.openxmlformats.org/officeDocument/2006/relationships/hyperlink" Target="https://www.youtube.com/watch?v=-2YrpCsEoK4" TargetMode="External"/><Relationship Id="rId322" Type="http://schemas.openxmlformats.org/officeDocument/2006/relationships/hyperlink" Target="https://www.youtube.com/watch?v=kDBpWyon6Z0&amp;list=PLEnK6o7pdzkdILDqGqkB2bKKHCrxBewbF&amp;index=17" TargetMode="External"/><Relationship Id="rId364" Type="http://schemas.openxmlformats.org/officeDocument/2006/relationships/hyperlink" Target="https://www.youtube.com/watch?v=eocsFIqfgv0" TargetMode="External"/><Relationship Id="rId767" Type="http://schemas.openxmlformats.org/officeDocument/2006/relationships/hyperlink" Target="https://www.youtube.com/watch?v=HXjfXBp_wes" TargetMode="External"/><Relationship Id="rId61" Type="http://schemas.openxmlformats.org/officeDocument/2006/relationships/hyperlink" Target="https://oniseptv.onisep.fr/video/botaniste" TargetMode="External"/><Relationship Id="rId199" Type="http://schemas.openxmlformats.org/officeDocument/2006/relationships/hyperlink" Target="https://www.youtube.com/watch?v=_EZFzGQRmSQ" TargetMode="External"/><Relationship Id="rId571" Type="http://schemas.openxmlformats.org/officeDocument/2006/relationships/hyperlink" Target="https://www.youtube.com/watch?v=7REUOGJpba4" TargetMode="External"/><Relationship Id="rId627" Type="http://schemas.openxmlformats.org/officeDocument/2006/relationships/hyperlink" Target="https://www.youtube.com/watch?v=rSyIRvKVfJY" TargetMode="External"/><Relationship Id="rId669" Type="http://schemas.openxmlformats.org/officeDocument/2006/relationships/hyperlink" Target="https://www.youtube.com/watch?v=FZaMUPVEr_8&amp;list=PLd6_t9Z4OqpWTfxjp18UuFg9AAZQLLRoI&amp;index=27" TargetMode="External"/><Relationship Id="rId834" Type="http://schemas.openxmlformats.org/officeDocument/2006/relationships/hyperlink" Target="https://www.youtube.com/watch?v=F8acXsRjpRM" TargetMode="External"/><Relationship Id="rId19" Type="http://schemas.openxmlformats.org/officeDocument/2006/relationships/hyperlink" Target="https://oniseptv.onisep.fr/video/conservateur-des-espaces-naturels" TargetMode="External"/><Relationship Id="rId224" Type="http://schemas.openxmlformats.org/officeDocument/2006/relationships/hyperlink" Target="https://www.youtube.com/watch?v=QuTb8IK0Ee0" TargetMode="External"/><Relationship Id="rId266" Type="http://schemas.openxmlformats.org/officeDocument/2006/relationships/hyperlink" Target="https://www.youtube.com/watch?v=KK5FxyFAleg" TargetMode="External"/><Relationship Id="rId431" Type="http://schemas.openxmlformats.org/officeDocument/2006/relationships/hyperlink" Target="https://www.youtube.com/watch?v=o2j8haEyfck&amp;list=PLd6_t9Z4OqpWTfxjp18UuFg9AAZQLLRoI&amp;index=2" TargetMode="External"/><Relationship Id="rId473" Type="http://schemas.openxmlformats.org/officeDocument/2006/relationships/hyperlink" Target="https://www.youtube.com/shorts/cto5wAqzlHk" TargetMode="External"/><Relationship Id="rId529" Type="http://schemas.openxmlformats.org/officeDocument/2006/relationships/hyperlink" Target="https://www.youtube.com/watch?v=qdzHT9M07iw" TargetMode="External"/><Relationship Id="rId680" Type="http://schemas.openxmlformats.org/officeDocument/2006/relationships/hyperlink" Target="https://www.youtube.com/watch?v=S8-LcLJPmOw&amp;list=PLd6_t9Z4OqpWTfxjp18UuFg9AAZQLLRoI&amp;index=34" TargetMode="External"/><Relationship Id="rId736" Type="http://schemas.openxmlformats.org/officeDocument/2006/relationships/hyperlink" Target="https://www.youtube.com/watch?v=3aaCgujefoY" TargetMode="External"/><Relationship Id="rId30" Type="http://schemas.openxmlformats.org/officeDocument/2006/relationships/hyperlink" Target="https://www.youtube.com/watch?v=nNWYpnjDE9w" TargetMode="External"/><Relationship Id="rId126" Type="http://schemas.openxmlformats.org/officeDocument/2006/relationships/hyperlink" Target="https://www.youtube.com/watch?v=oOdrNcPoC1Q" TargetMode="External"/><Relationship Id="rId168" Type="http://schemas.openxmlformats.org/officeDocument/2006/relationships/hyperlink" Target="https://oniseptv.onisep.fr/video/ingenieure-detude-au-cnrs" TargetMode="External"/><Relationship Id="rId333" Type="http://schemas.openxmlformats.org/officeDocument/2006/relationships/hyperlink" Target="https://www.youtube.com/watch?v=psuHpL2086o" TargetMode="External"/><Relationship Id="rId540" Type="http://schemas.openxmlformats.org/officeDocument/2006/relationships/hyperlink" Target="https://www.youtube.com/watch?v=PzW2RmH7MNY" TargetMode="External"/><Relationship Id="rId778" Type="http://schemas.openxmlformats.org/officeDocument/2006/relationships/hyperlink" Target="https://www.youtube.com/watch?v=fq4aqLm5T7Q" TargetMode="External"/><Relationship Id="rId72" Type="http://schemas.openxmlformats.org/officeDocument/2006/relationships/hyperlink" Target="https://oniseptv.onisep.fr/video/les-pros-de-la-bio-le-responsable-commercial" TargetMode="External"/><Relationship Id="rId375" Type="http://schemas.openxmlformats.org/officeDocument/2006/relationships/hyperlink" Target="https://www.youtube.com/watch?v=stEdPyse0FU&amp;list=PLEnK6o7pdzkdILDqGqkB2bKKHCrxBewbF&amp;index=18" TargetMode="External"/><Relationship Id="rId582" Type="http://schemas.openxmlformats.org/officeDocument/2006/relationships/hyperlink" Target="https://www.youtube.com/watch?v=FXbqyzlHWVs" TargetMode="External"/><Relationship Id="rId638" Type="http://schemas.openxmlformats.org/officeDocument/2006/relationships/hyperlink" Target="https://www.youtube.com/watch?v=3qqNm9AFpjI" TargetMode="External"/><Relationship Id="rId803" Type="http://schemas.openxmlformats.org/officeDocument/2006/relationships/hyperlink" Target="https://www.youtube.com/watch?v=-j9b_RBMV9w" TargetMode="External"/><Relationship Id="rId3" Type="http://schemas.openxmlformats.org/officeDocument/2006/relationships/hyperlink" Target="https://www.youtube.com/watch?v=MdNZvWa8mDI" TargetMode="External"/><Relationship Id="rId235" Type="http://schemas.openxmlformats.org/officeDocument/2006/relationships/hyperlink" Target="https://www.youtube.com/watch?v=K3n9iEInEJI" TargetMode="External"/><Relationship Id="rId277" Type="http://schemas.openxmlformats.org/officeDocument/2006/relationships/hyperlink" Target="https://www.youtube.com/watch?v=tdIBUHjsZQQ" TargetMode="External"/><Relationship Id="rId400" Type="http://schemas.openxmlformats.org/officeDocument/2006/relationships/hyperlink" Target="https://www.youtube.com/watch?v=sSzQS3S1sMA" TargetMode="External"/><Relationship Id="rId442" Type="http://schemas.openxmlformats.org/officeDocument/2006/relationships/hyperlink" Target="https://oniseptv.onisep.fr/video/accompagnatrice-en-montagne" TargetMode="External"/><Relationship Id="rId484" Type="http://schemas.openxmlformats.org/officeDocument/2006/relationships/hyperlink" Target="https://www.youtube.com/watch?v=ZkGJtEeE7W8" TargetMode="External"/><Relationship Id="rId705" Type="http://schemas.openxmlformats.org/officeDocument/2006/relationships/hyperlink" Target="https://www.youtube.com/watch?v=THYicJR8SQg" TargetMode="External"/><Relationship Id="rId137" Type="http://schemas.openxmlformats.org/officeDocument/2006/relationships/hyperlink" Target="https://www.youtube.com/shorts/NuIs5Ya7V_Q" TargetMode="External"/><Relationship Id="rId302" Type="http://schemas.openxmlformats.org/officeDocument/2006/relationships/hyperlink" Target="https://www.youtube.com/watch?v=XnRpwtjjJgE" TargetMode="External"/><Relationship Id="rId344" Type="http://schemas.openxmlformats.org/officeDocument/2006/relationships/hyperlink" Target="https://www.youtube.com/watch?v=SiPAqywHcVQ" TargetMode="External"/><Relationship Id="rId691" Type="http://schemas.openxmlformats.org/officeDocument/2006/relationships/hyperlink" Target="https://www.youtube.com/watch?v=d_190y7K8ZQ" TargetMode="External"/><Relationship Id="rId747" Type="http://schemas.openxmlformats.org/officeDocument/2006/relationships/hyperlink" Target="https://www.youtube.com/watch?v=AwrP4GqLscA" TargetMode="External"/><Relationship Id="rId789" Type="http://schemas.openxmlformats.org/officeDocument/2006/relationships/hyperlink" Target="https://www.youtube.com/watch?v=k6OSr83rKtw" TargetMode="External"/><Relationship Id="rId41" Type="http://schemas.openxmlformats.org/officeDocument/2006/relationships/hyperlink" Target="https://www.youtube.com/watch?v=vFs2UpATL94" TargetMode="External"/><Relationship Id="rId83" Type="http://schemas.openxmlformats.org/officeDocument/2006/relationships/hyperlink" Target="https://www.youtube.com/watch?v=Mxd4zZJk7vs" TargetMode="External"/><Relationship Id="rId179" Type="http://schemas.openxmlformats.org/officeDocument/2006/relationships/hyperlink" Target="https://www.youtube.com/watch?v=6e4zn1fZn1s" TargetMode="External"/><Relationship Id="rId386" Type="http://schemas.openxmlformats.org/officeDocument/2006/relationships/hyperlink" Target="https://oniseptv.onisep.fr/video/veterinaire_salarie" TargetMode="External"/><Relationship Id="rId551" Type="http://schemas.openxmlformats.org/officeDocument/2006/relationships/hyperlink" Target="https://oniseptv.onisep.fr/video/responsable-r-amp-d-en-genie-vegetal" TargetMode="External"/><Relationship Id="rId593" Type="http://schemas.openxmlformats.org/officeDocument/2006/relationships/hyperlink" Target="https://www.youtube.com/watch?v=UaPRdKA6494" TargetMode="External"/><Relationship Id="rId607" Type="http://schemas.openxmlformats.org/officeDocument/2006/relationships/hyperlink" Target="https://www.youtube.com/watch?v=if-haP2PG0Y" TargetMode="External"/><Relationship Id="rId649" Type="http://schemas.openxmlformats.org/officeDocument/2006/relationships/hyperlink" Target="https://www.youtube.com/watch?v=iiHpPWm85xQ&amp;list=PLjvQtIQcsQ7FdN1QaUW3dmhOPaj-63xDr&amp;index=13" TargetMode="External"/><Relationship Id="rId814" Type="http://schemas.openxmlformats.org/officeDocument/2006/relationships/hyperlink" Target="https://www.youtube.com/watch?v=6EfqEqdWlw8" TargetMode="External"/><Relationship Id="rId190" Type="http://schemas.openxmlformats.org/officeDocument/2006/relationships/hyperlink" Target="https://www.youtube.com/watch?v=Vorpjt0rBR8" TargetMode="External"/><Relationship Id="rId204" Type="http://schemas.openxmlformats.org/officeDocument/2006/relationships/hyperlink" Target="https://oniseptv.onisep.fr/video/technicien-charge-de-maintenance-meteo-et-climat" TargetMode="External"/><Relationship Id="rId246" Type="http://schemas.openxmlformats.org/officeDocument/2006/relationships/hyperlink" Target="https://www.youtube.com/watch?v=ShHbQyeCExs" TargetMode="External"/><Relationship Id="rId288" Type="http://schemas.openxmlformats.org/officeDocument/2006/relationships/hyperlink" Target="https://www.youtube.com/watch?v=jpluUP3QhMc" TargetMode="External"/><Relationship Id="rId411" Type="http://schemas.openxmlformats.org/officeDocument/2006/relationships/hyperlink" Target="https://www.youtube.com/watch?v=DVaVY6mxT6w" TargetMode="External"/><Relationship Id="rId453" Type="http://schemas.openxmlformats.org/officeDocument/2006/relationships/hyperlink" Target="https://oniseptv.onisep.fr/video/monitrice-de-ski-nordique" TargetMode="External"/><Relationship Id="rId509" Type="http://schemas.openxmlformats.org/officeDocument/2006/relationships/hyperlink" Target="https://www.youtube.com/watch?v=yWqSTqfKoiI" TargetMode="External"/><Relationship Id="rId660" Type="http://schemas.openxmlformats.org/officeDocument/2006/relationships/hyperlink" Target="https://www.youtube.com/watch?v=AtC0VRuFtZk" TargetMode="External"/><Relationship Id="rId106" Type="http://schemas.openxmlformats.org/officeDocument/2006/relationships/hyperlink" Target="https://www.youtube.com/watch?v=0cTPwzAIDtY" TargetMode="External"/><Relationship Id="rId313" Type="http://schemas.openxmlformats.org/officeDocument/2006/relationships/hyperlink" Target="https://oniseptv.onisep.fr/video/franck-ergonome" TargetMode="External"/><Relationship Id="rId495" Type="http://schemas.openxmlformats.org/officeDocument/2006/relationships/hyperlink" Target="https://www.youtube.com/watch?v=rnIYuqZvFWI" TargetMode="External"/><Relationship Id="rId716" Type="http://schemas.openxmlformats.org/officeDocument/2006/relationships/hyperlink" Target="https://www.youtube.com/watch?v=_uAHbEbNTtk" TargetMode="External"/><Relationship Id="rId758" Type="http://schemas.openxmlformats.org/officeDocument/2006/relationships/hyperlink" Target="https://www.youtube.com/watch?v=89l8FzJITiQ" TargetMode="External"/><Relationship Id="rId10" Type="http://schemas.openxmlformats.org/officeDocument/2006/relationships/hyperlink" Target="https://www.youtube.com/watch?v=WodJSfMJIps" TargetMode="External"/><Relationship Id="rId52" Type="http://schemas.openxmlformats.org/officeDocument/2006/relationships/hyperlink" Target="https://www.youtube.com/watch?v=uKqFQlFT-14" TargetMode="External"/><Relationship Id="rId94" Type="http://schemas.openxmlformats.org/officeDocument/2006/relationships/hyperlink" Target="https://www.youtube.com/watch?v=CPSFay5S5b0" TargetMode="External"/><Relationship Id="rId148" Type="http://schemas.openxmlformats.org/officeDocument/2006/relationships/hyperlink" Target="https://oniseptv.onisep.fr/video/responsable-r-amp-d-en-genie-vegetal" TargetMode="External"/><Relationship Id="rId355" Type="http://schemas.openxmlformats.org/officeDocument/2006/relationships/hyperlink" Target="https://oniseptv.onisep.fr/video/agent-d-exploitation-de-l-eau" TargetMode="External"/><Relationship Id="rId397" Type="http://schemas.openxmlformats.org/officeDocument/2006/relationships/hyperlink" Target="https://www.youtube.com/watch?v=T10jOjM8Ge4" TargetMode="External"/><Relationship Id="rId520" Type="http://schemas.openxmlformats.org/officeDocument/2006/relationships/hyperlink" Target="https://www.youtube.com/watch?v=0cTPwzAIDtY" TargetMode="External"/><Relationship Id="rId562" Type="http://schemas.openxmlformats.org/officeDocument/2006/relationships/hyperlink" Target="https://www.youtube.com/watch?v=y-3hcNGOomM" TargetMode="External"/><Relationship Id="rId618" Type="http://schemas.openxmlformats.org/officeDocument/2006/relationships/hyperlink" Target="https://www.youtube.com/watch?v=U5T9ptt05mI" TargetMode="External"/><Relationship Id="rId825" Type="http://schemas.openxmlformats.org/officeDocument/2006/relationships/hyperlink" Target="https://www.youtube.com/watch?v=sXz1VjbbUhk" TargetMode="External"/><Relationship Id="rId215" Type="http://schemas.openxmlformats.org/officeDocument/2006/relationships/hyperlink" Target="https://www.youtube.com/watch?v=KO7Q000nXTI" TargetMode="External"/><Relationship Id="rId257" Type="http://schemas.openxmlformats.org/officeDocument/2006/relationships/hyperlink" Target="https://www.youtube.com/watch?v=CWRXrydDeOc" TargetMode="External"/><Relationship Id="rId422" Type="http://schemas.openxmlformats.org/officeDocument/2006/relationships/hyperlink" Target="https://www.youtube.com/shorts/F7-uPTGNZjo" TargetMode="External"/><Relationship Id="rId464" Type="http://schemas.openxmlformats.org/officeDocument/2006/relationships/hyperlink" Target="https://www.youtube.com/watch?v=JcSVd9HKM4A" TargetMode="External"/><Relationship Id="rId299" Type="http://schemas.openxmlformats.org/officeDocument/2006/relationships/hyperlink" Target="https://www.youtube.com/watch?v=lTVr-xE6fTU" TargetMode="External"/><Relationship Id="rId727" Type="http://schemas.openxmlformats.org/officeDocument/2006/relationships/hyperlink" Target="https://www.youtube.com/watch?v=jE8bhrv2uSU" TargetMode="External"/><Relationship Id="rId63" Type="http://schemas.openxmlformats.org/officeDocument/2006/relationships/hyperlink" Target="https://oniseptv.onisep.fr/video/technicien-de-laboratoire-en-biotechnologies" TargetMode="External"/><Relationship Id="rId159" Type="http://schemas.openxmlformats.org/officeDocument/2006/relationships/hyperlink" Target="https://www.youtube.com/watch?v=WHrto2rYL-4" TargetMode="External"/><Relationship Id="rId366" Type="http://schemas.openxmlformats.org/officeDocument/2006/relationships/hyperlink" Target="https://youtu.be/mwRyr1iOIHk" TargetMode="External"/><Relationship Id="rId573" Type="http://schemas.openxmlformats.org/officeDocument/2006/relationships/hyperlink" Target="https://www.youtube.com/watch?v=dM4xn_xKtL8" TargetMode="External"/><Relationship Id="rId780" Type="http://schemas.openxmlformats.org/officeDocument/2006/relationships/hyperlink" Target="https://www.youtube.com/watch?v=hBR6Nt5JacM" TargetMode="External"/><Relationship Id="rId226" Type="http://schemas.openxmlformats.org/officeDocument/2006/relationships/hyperlink" Target="https://www.youtube.com/watch?v=qA8bCdY2-HQ" TargetMode="External"/><Relationship Id="rId433" Type="http://schemas.openxmlformats.org/officeDocument/2006/relationships/hyperlink" Target="https://www.youtube.com/watch?v=x4sDjxuu51Y" TargetMode="External"/><Relationship Id="rId640" Type="http://schemas.openxmlformats.org/officeDocument/2006/relationships/hyperlink" Target="https://www.youtube.com/watch?v=YREBnWo1FQQ" TargetMode="External"/><Relationship Id="rId738" Type="http://schemas.openxmlformats.org/officeDocument/2006/relationships/hyperlink" Target="https://www.youtube.com/watch?v=fTblJa6HsYk" TargetMode="External"/><Relationship Id="rId74" Type="http://schemas.openxmlformats.org/officeDocument/2006/relationships/hyperlink" Target="https://www.youtube.com/watch?v=xHoXEhZw0Js" TargetMode="External"/><Relationship Id="rId377" Type="http://schemas.openxmlformats.org/officeDocument/2006/relationships/hyperlink" Target="https://www.youtube.com/watch?v=7REUOGJpba4" TargetMode="External"/><Relationship Id="rId500" Type="http://schemas.openxmlformats.org/officeDocument/2006/relationships/hyperlink" Target="https://www.youtube.com/watch?v=JU5NPoYQaUk" TargetMode="External"/><Relationship Id="rId584" Type="http://schemas.openxmlformats.org/officeDocument/2006/relationships/hyperlink" Target="https://www.youtube.com/watch?v=9M_d_y3Xgtg" TargetMode="External"/><Relationship Id="rId805" Type="http://schemas.openxmlformats.org/officeDocument/2006/relationships/hyperlink" Target="https://www.youtube.com/watch?v=N_FIEXV_dhE" TargetMode="External"/><Relationship Id="rId5" Type="http://schemas.openxmlformats.org/officeDocument/2006/relationships/hyperlink" Target="https://www.youtube.com/watch?v=S-Op79N_Brk" TargetMode="External"/><Relationship Id="rId237" Type="http://schemas.openxmlformats.org/officeDocument/2006/relationships/hyperlink" Target="https://www.youtube.com/watch?v=4HLrrGaiHRE" TargetMode="External"/><Relationship Id="rId791" Type="http://schemas.openxmlformats.org/officeDocument/2006/relationships/hyperlink" Target="https://www.youtube.com/watch?v=Xuy1kNE0z4w" TargetMode="External"/><Relationship Id="rId444" Type="http://schemas.openxmlformats.org/officeDocument/2006/relationships/hyperlink" Target="https://www.youtube.com/watch?v=R3O1_l2KFC0" TargetMode="External"/><Relationship Id="rId651" Type="http://schemas.openxmlformats.org/officeDocument/2006/relationships/hyperlink" Target="https://www.youtube.com/watch?v=IBqnH0AhXXw&amp;list=PLjvQtIQcsQ7FdN1QaUW3dmhOPaj-63xDr&amp;index=3" TargetMode="External"/><Relationship Id="rId749" Type="http://schemas.openxmlformats.org/officeDocument/2006/relationships/hyperlink" Target="https://www.youtube.com/watch?v=feKVC1bQnto" TargetMode="External"/><Relationship Id="rId290" Type="http://schemas.openxmlformats.org/officeDocument/2006/relationships/hyperlink" Target="https://www.youtube.com/watch?v=MikO5HlkUSA" TargetMode="External"/><Relationship Id="rId304" Type="http://schemas.openxmlformats.org/officeDocument/2006/relationships/hyperlink" Target="https://www.youtube.com/watch?v=yvxtTg8USCg" TargetMode="External"/><Relationship Id="rId388" Type="http://schemas.openxmlformats.org/officeDocument/2006/relationships/hyperlink" Target="https://www.youtube.com/watch?v=I22-c931lB0" TargetMode="External"/><Relationship Id="rId511" Type="http://schemas.openxmlformats.org/officeDocument/2006/relationships/hyperlink" Target="https://www.youtube.com/watch?v=68m0emzBD-4" TargetMode="External"/><Relationship Id="rId609" Type="http://schemas.openxmlformats.org/officeDocument/2006/relationships/hyperlink" Target="https://www.youtube.com/watch?v=adGdyFk7oUE" TargetMode="External"/><Relationship Id="rId85" Type="http://schemas.openxmlformats.org/officeDocument/2006/relationships/hyperlink" Target="https://www.youtube.com/watch?v=3j-5MG0hX4g" TargetMode="External"/><Relationship Id="rId150" Type="http://schemas.openxmlformats.org/officeDocument/2006/relationships/hyperlink" Target="https://www.youtube.com/watch?v=xLb4B5UN6EE" TargetMode="External"/><Relationship Id="rId595" Type="http://schemas.openxmlformats.org/officeDocument/2006/relationships/hyperlink" Target="https://www.youtube.com/watch?v=4IwpkaVt_N4" TargetMode="External"/><Relationship Id="rId816" Type="http://schemas.openxmlformats.org/officeDocument/2006/relationships/hyperlink" Target="https://www.youtube.com/watch?v=Ty7zHrKlBQQ" TargetMode="External"/><Relationship Id="rId248" Type="http://schemas.openxmlformats.org/officeDocument/2006/relationships/hyperlink" Target="https://www.youtube.com/watch?v=89RmRhwTDro" TargetMode="External"/><Relationship Id="rId455" Type="http://schemas.openxmlformats.org/officeDocument/2006/relationships/hyperlink" Target="https://oniseptv.onisep.fr/video/musheuse" TargetMode="External"/><Relationship Id="rId662" Type="http://schemas.openxmlformats.org/officeDocument/2006/relationships/hyperlink" Target="https://oniseptv.onisep.fr/video/preparateur-en-pharmacie" TargetMode="External"/><Relationship Id="rId12" Type="http://schemas.openxmlformats.org/officeDocument/2006/relationships/hyperlink" Target="https://www.youtube.com/watch?v=9hVJXEAV31c" TargetMode="External"/><Relationship Id="rId108" Type="http://schemas.openxmlformats.org/officeDocument/2006/relationships/hyperlink" Target="https://www.youtube.com/watch?v=GvfANw1AOaw" TargetMode="External"/><Relationship Id="rId315" Type="http://schemas.openxmlformats.org/officeDocument/2006/relationships/hyperlink" Target="https://www.youtube.com/watch?v=qJgYv9WJpKA" TargetMode="External"/><Relationship Id="rId522" Type="http://schemas.openxmlformats.org/officeDocument/2006/relationships/hyperlink" Target="https://www.youtube.com/watch?v=vpkEWnwfKWs" TargetMode="External"/><Relationship Id="rId96" Type="http://schemas.openxmlformats.org/officeDocument/2006/relationships/hyperlink" Target="https://www.youtube.com/watch?v=eMLNE705R2A" TargetMode="External"/><Relationship Id="rId161" Type="http://schemas.openxmlformats.org/officeDocument/2006/relationships/hyperlink" Target="https://www.youtube.com/watch?v=mHoT5vcbFgk" TargetMode="External"/><Relationship Id="rId399" Type="http://schemas.openxmlformats.org/officeDocument/2006/relationships/hyperlink" Target="https://www.youtube.com/watch?v=u-yBzUpgPWQ" TargetMode="External"/><Relationship Id="rId827" Type="http://schemas.openxmlformats.org/officeDocument/2006/relationships/hyperlink" Target="https://www.youtube.com/watch?v=sXz1VjbbUhk" TargetMode="External"/><Relationship Id="rId259" Type="http://schemas.openxmlformats.org/officeDocument/2006/relationships/hyperlink" Target="https://www.youtube.com/watch?v=tkKmqog5sJc" TargetMode="External"/><Relationship Id="rId466" Type="http://schemas.openxmlformats.org/officeDocument/2006/relationships/hyperlink" Target="https://www.youtube.com/watch?v=gwuq6rY3Fig" TargetMode="External"/><Relationship Id="rId673" Type="http://schemas.openxmlformats.org/officeDocument/2006/relationships/hyperlink" Target="https://www.youtube.com/watch?v=6nTsn7-B_lk&amp;list=PLd6_t9Z4OqpWTfxjp18UuFg9AAZQLLRoI&amp;index=30" TargetMode="External"/><Relationship Id="rId23" Type="http://schemas.openxmlformats.org/officeDocument/2006/relationships/hyperlink" Target="https://www.youtube.com/watch?v=KsSOB2ZwIlI" TargetMode="External"/><Relationship Id="rId119" Type="http://schemas.openxmlformats.org/officeDocument/2006/relationships/hyperlink" Target="https://www.youtube.com/watch?v=SekFw_rjYBs" TargetMode="External"/><Relationship Id="rId326" Type="http://schemas.openxmlformats.org/officeDocument/2006/relationships/hyperlink" Target="https://www.youtube.com/watch?v=y_yrOsulKOA" TargetMode="External"/><Relationship Id="rId533" Type="http://schemas.openxmlformats.org/officeDocument/2006/relationships/hyperlink" Target="https://www.youtube.com/watch?v=Pdg6Q6gVV9E" TargetMode="External"/><Relationship Id="rId740" Type="http://schemas.openxmlformats.org/officeDocument/2006/relationships/hyperlink" Target="https://www.youtube.com/watch?v=plAZxAS_y6g" TargetMode="External"/><Relationship Id="rId838" Type="http://schemas.openxmlformats.org/officeDocument/2006/relationships/comments" Target="../comments1.xml"/><Relationship Id="rId172" Type="http://schemas.openxmlformats.org/officeDocument/2006/relationships/hyperlink" Target="https://www.youtube.com/watch?v=rUXHDsfRv_c" TargetMode="External"/><Relationship Id="rId477" Type="http://schemas.openxmlformats.org/officeDocument/2006/relationships/hyperlink" Target="https://www.youtube.com/watch?v=jpluUP3QhMc" TargetMode="External"/><Relationship Id="rId600" Type="http://schemas.openxmlformats.org/officeDocument/2006/relationships/hyperlink" Target="https://www.youtube.com/watch?v=Cnv5rXJQnnY" TargetMode="External"/><Relationship Id="rId684" Type="http://schemas.openxmlformats.org/officeDocument/2006/relationships/hyperlink" Target="https://www.youtube.com/watch?v=MPR_y_-ipdQ&amp;list=PLd6_t9Z4OqpWTfxjp18UuFg9AAZQLLRoI&amp;index=37" TargetMode="External"/><Relationship Id="rId337" Type="http://schemas.openxmlformats.org/officeDocument/2006/relationships/hyperlink" Target="https://www.youtube.com/watch?v=OJiNgnhcGd0" TargetMode="External"/><Relationship Id="rId34" Type="http://schemas.openxmlformats.org/officeDocument/2006/relationships/hyperlink" Target="https://www.youtube.com/shorts/nbl7x7LropQ" TargetMode="External"/><Relationship Id="rId544" Type="http://schemas.openxmlformats.org/officeDocument/2006/relationships/hyperlink" Target="https://www.youtube.com/watch?v=ApVLZithjU0" TargetMode="External"/><Relationship Id="rId751" Type="http://schemas.openxmlformats.org/officeDocument/2006/relationships/hyperlink" Target="https://www.youtube.com/watch?v=R3rbrMBVi6E" TargetMode="External"/><Relationship Id="rId183" Type="http://schemas.openxmlformats.org/officeDocument/2006/relationships/hyperlink" Target="https://www.youtube.com/watch?v=zwyQpQocT40" TargetMode="External"/><Relationship Id="rId390" Type="http://schemas.openxmlformats.org/officeDocument/2006/relationships/hyperlink" Target="https://www.youtube.com/watch?v=y5X5F3YupTE" TargetMode="External"/><Relationship Id="rId404" Type="http://schemas.openxmlformats.org/officeDocument/2006/relationships/hyperlink" Target="https://www.youtube.com/watch?v=EnY-3F0LuWA" TargetMode="External"/><Relationship Id="rId611" Type="http://schemas.openxmlformats.org/officeDocument/2006/relationships/hyperlink" Target="https://www.youtube.com/watch?v=9awMgn4YB48" TargetMode="External"/><Relationship Id="rId250" Type="http://schemas.openxmlformats.org/officeDocument/2006/relationships/hyperlink" Target="https://www.youtube.com/watch?v=ZXcGFumUeV4" TargetMode="External"/><Relationship Id="rId488" Type="http://schemas.openxmlformats.org/officeDocument/2006/relationships/hyperlink" Target="https://www.youtube.com/watch?v=uCjSa6VzREo" TargetMode="External"/><Relationship Id="rId695" Type="http://schemas.openxmlformats.org/officeDocument/2006/relationships/hyperlink" Target="https://www.youtube.com/watch?v=kei3zAKjm04" TargetMode="External"/><Relationship Id="rId709" Type="http://schemas.openxmlformats.org/officeDocument/2006/relationships/hyperlink" Target="https://www.youtube.com/watch?v=_2dtMz4YqgM" TargetMode="External"/><Relationship Id="rId45" Type="http://schemas.openxmlformats.org/officeDocument/2006/relationships/hyperlink" Target="https://www.youtube.com/watch?v=Ous7QrDkgcc" TargetMode="External"/><Relationship Id="rId110" Type="http://schemas.openxmlformats.org/officeDocument/2006/relationships/hyperlink" Target="https://www.youtube.com/watch?v=MonOkK3bP5Y" TargetMode="External"/><Relationship Id="rId348" Type="http://schemas.openxmlformats.org/officeDocument/2006/relationships/hyperlink" Target="https://oniseptv.onisep.fr/video/theo-animateur-nature" TargetMode="External"/><Relationship Id="rId555" Type="http://schemas.openxmlformats.org/officeDocument/2006/relationships/hyperlink" Target="https://www.youtube.com/watch?v=7m77qdUN44o" TargetMode="External"/><Relationship Id="rId762" Type="http://schemas.openxmlformats.org/officeDocument/2006/relationships/hyperlink" Target="https://www.youtube.com/watch?v=8PZr4d4yN-w" TargetMode="External"/><Relationship Id="rId194" Type="http://schemas.openxmlformats.org/officeDocument/2006/relationships/hyperlink" Target="https://oniseptv.onisep.fr/video/agent-d-exploitation-de-l-eau" TargetMode="External"/><Relationship Id="rId208" Type="http://schemas.openxmlformats.org/officeDocument/2006/relationships/hyperlink" Target="https://www.youtube.com/watch?v=tBnuyBEvY_Y" TargetMode="External"/><Relationship Id="rId415" Type="http://schemas.openxmlformats.org/officeDocument/2006/relationships/hyperlink" Target="https://vimeo.com/378978272" TargetMode="External"/><Relationship Id="rId622" Type="http://schemas.openxmlformats.org/officeDocument/2006/relationships/hyperlink" Target="https://www.youtube.com/watch?v=Pdg6Q6gVV9E" TargetMode="External"/><Relationship Id="rId261" Type="http://schemas.openxmlformats.org/officeDocument/2006/relationships/hyperlink" Target="https://oniseptv.onisep.fr/video/pharmacien-hospitalier2" TargetMode="External"/><Relationship Id="rId499" Type="http://schemas.openxmlformats.org/officeDocument/2006/relationships/hyperlink" Target="https://www.youtube.com/watch?v=4DMKJEejbZY" TargetMode="External"/><Relationship Id="rId56" Type="http://schemas.openxmlformats.org/officeDocument/2006/relationships/hyperlink" Target="https://www.youtube.com/watch?v=-2YrpCsEoK4" TargetMode="External"/><Relationship Id="rId359" Type="http://schemas.openxmlformats.org/officeDocument/2006/relationships/hyperlink" Target="https://www.youtube.com/watch?v=jOHdrWX_Vz4" TargetMode="External"/><Relationship Id="rId566" Type="http://schemas.openxmlformats.org/officeDocument/2006/relationships/hyperlink" Target="https://www.youtube.com/watch?v=LnlgTZieiyA" TargetMode="External"/><Relationship Id="rId773" Type="http://schemas.openxmlformats.org/officeDocument/2006/relationships/hyperlink" Target="https://www.youtube.com/watch?v=XW4PC-eSWuU" TargetMode="External"/><Relationship Id="rId121" Type="http://schemas.openxmlformats.org/officeDocument/2006/relationships/hyperlink" Target="https://www.youtube.com/watch?v=o1sd51_DK_c" TargetMode="External"/><Relationship Id="rId219" Type="http://schemas.openxmlformats.org/officeDocument/2006/relationships/hyperlink" Target="https://www.youtube.com/watch?v=T01LxX4FNYw" TargetMode="External"/><Relationship Id="rId426" Type="http://schemas.openxmlformats.org/officeDocument/2006/relationships/hyperlink" Target="https://www.sciences-en-occitanie.fr/communautes/chercheur-e-s-d-occitanie/articles/le-parcours-d-un-planetologue-rencontre-avec-michael-toplis-directeur-de-recherche-a-l-observatoire-midi-pyrenees" TargetMode="External"/><Relationship Id="rId633" Type="http://schemas.openxmlformats.org/officeDocument/2006/relationships/hyperlink" Target="https://www.youtube.com/watch?v=vFs2UpATL94" TargetMode="External"/><Relationship Id="rId67" Type="http://schemas.openxmlformats.org/officeDocument/2006/relationships/hyperlink" Target="https://www.youtube.com/watch?v=5rIjXfcgeMQ" TargetMode="External"/><Relationship Id="rId272" Type="http://schemas.openxmlformats.org/officeDocument/2006/relationships/hyperlink" Target="https://oniseptv.onisep.fr/video/technicien-qualite-dans-lindustrie-pharmaceutique" TargetMode="External"/><Relationship Id="rId577" Type="http://schemas.openxmlformats.org/officeDocument/2006/relationships/hyperlink" Target="https://www.youtube.com/watch?v=UDVIl5orU7E" TargetMode="External"/><Relationship Id="rId700" Type="http://schemas.openxmlformats.org/officeDocument/2006/relationships/hyperlink" Target="https://www.youtube.com/watch?v=R3e3fCDn7CI" TargetMode="External"/><Relationship Id="rId132" Type="http://schemas.openxmlformats.org/officeDocument/2006/relationships/hyperlink" Target="https://www.youtube.com/watch?v=L6zmnPz89CE" TargetMode="External"/><Relationship Id="rId784" Type="http://schemas.openxmlformats.org/officeDocument/2006/relationships/hyperlink" Target="https://www.youtube.com/watch?v=XT_i9g9rcw4" TargetMode="External"/><Relationship Id="rId437" Type="http://schemas.openxmlformats.org/officeDocument/2006/relationships/hyperlink" Target="https://www.youtube.com/watch?v=HujGytlPE1c" TargetMode="External"/><Relationship Id="rId644" Type="http://schemas.openxmlformats.org/officeDocument/2006/relationships/hyperlink" Target="https://parcoursmetiers.tv/video/18628-volcanologue" TargetMode="External"/><Relationship Id="rId283" Type="http://schemas.openxmlformats.org/officeDocument/2006/relationships/hyperlink" Target="https://www.youtube.com/watch?v=KsSOB2ZwIlI" TargetMode="External"/><Relationship Id="rId490" Type="http://schemas.openxmlformats.org/officeDocument/2006/relationships/hyperlink" Target="https://www.youtube.com/watch?v=9tyfYdZXCa0" TargetMode="External"/><Relationship Id="rId504" Type="http://schemas.openxmlformats.org/officeDocument/2006/relationships/hyperlink" Target="https://www.youtube.com/watch?v=khpSKAprYHo" TargetMode="External"/><Relationship Id="rId711" Type="http://schemas.openxmlformats.org/officeDocument/2006/relationships/hyperlink" Target="https://www.youtube.com/watch?v=5hefKiIKiAM" TargetMode="External"/><Relationship Id="rId78" Type="http://schemas.openxmlformats.org/officeDocument/2006/relationships/hyperlink" Target="https://www.youtube.com/watch?v=ce1-SHzgROE" TargetMode="External"/><Relationship Id="rId143" Type="http://schemas.openxmlformats.org/officeDocument/2006/relationships/hyperlink" Target="https://www.youtube.com/watch?v=N3zSf450Kzc" TargetMode="External"/><Relationship Id="rId350" Type="http://schemas.openxmlformats.org/officeDocument/2006/relationships/hyperlink" Target="https://oniseptv.onisep.fr/video/accompagnatrice-en-montagne" TargetMode="External"/><Relationship Id="rId588" Type="http://schemas.openxmlformats.org/officeDocument/2006/relationships/hyperlink" Target="https://www.youtube.com/watch?v=sYX5BK22J7o" TargetMode="External"/><Relationship Id="rId795" Type="http://schemas.openxmlformats.org/officeDocument/2006/relationships/hyperlink" Target="https://www.youtube.com/watch?v=-22FyZAuNN0" TargetMode="External"/><Relationship Id="rId809" Type="http://schemas.openxmlformats.org/officeDocument/2006/relationships/hyperlink" Target="https://www.youtube.com/watch?v=zXNt_P7JOdg" TargetMode="External"/><Relationship Id="rId9" Type="http://schemas.openxmlformats.org/officeDocument/2006/relationships/hyperlink" Target="https://www.youtube.com/watch?v=wPfYi3go1kY" TargetMode="External"/><Relationship Id="rId210" Type="http://schemas.openxmlformats.org/officeDocument/2006/relationships/hyperlink" Target="https://oniseptv.onisep.fr/video/cogniticien-dans-mon-job-les-metiers-du-numerique" TargetMode="External"/><Relationship Id="rId448" Type="http://schemas.openxmlformats.org/officeDocument/2006/relationships/hyperlink" Target="https://www.youtube.com/watch?v=_mWbEtIhpPU" TargetMode="External"/><Relationship Id="rId655" Type="http://schemas.openxmlformats.org/officeDocument/2006/relationships/hyperlink" Target="https://oniseptv.onisep.fr/video/professeure-documentaliste" TargetMode="External"/><Relationship Id="rId294" Type="http://schemas.openxmlformats.org/officeDocument/2006/relationships/hyperlink" Target="https://oniseptv.onisep.fr/video/le-metier-de-karim-educateur-de-jeunes-enfants" TargetMode="External"/><Relationship Id="rId308" Type="http://schemas.openxmlformats.org/officeDocument/2006/relationships/hyperlink" Target="https://www.youtube.com/watch?v=dVljSzOwndU" TargetMode="External"/><Relationship Id="rId515" Type="http://schemas.openxmlformats.org/officeDocument/2006/relationships/hyperlink" Target="https://www.youtube.com/watch?v=wKJxezrwZis" TargetMode="External"/><Relationship Id="rId722" Type="http://schemas.openxmlformats.org/officeDocument/2006/relationships/hyperlink" Target="https://www.youtube.com/watch?v=QKOkQNJfNu4" TargetMode="External"/><Relationship Id="rId89" Type="http://schemas.openxmlformats.org/officeDocument/2006/relationships/hyperlink" Target="https://www.youtube.com/watch?v=3j-5MG0hX4g" TargetMode="External"/><Relationship Id="rId154" Type="http://schemas.openxmlformats.org/officeDocument/2006/relationships/hyperlink" Target="https://www.youtube.com/watch?v=OiueMCEC9Qk" TargetMode="External"/><Relationship Id="rId361" Type="http://schemas.openxmlformats.org/officeDocument/2006/relationships/hyperlink" Target="https://www.youtube.com/watch?v=fBl3AI-qq6c" TargetMode="External"/><Relationship Id="rId599" Type="http://schemas.openxmlformats.org/officeDocument/2006/relationships/hyperlink" Target="https://www.youtube.com/watch?v=TQiwXWSWHZU" TargetMode="External"/><Relationship Id="rId459" Type="http://schemas.openxmlformats.org/officeDocument/2006/relationships/hyperlink" Target="https://www.youtube.com/watch?v=hohOJPG7ndM" TargetMode="External"/><Relationship Id="rId666" Type="http://schemas.openxmlformats.org/officeDocument/2006/relationships/hyperlink" Target="https://www.youtube.com/watch?v=RI3r4hc36Tk&amp;list=PLd6_t9Z4OqpWTfxjp18UuFg9AAZQLLRoI&amp;index=25" TargetMode="External"/><Relationship Id="rId16" Type="http://schemas.openxmlformats.org/officeDocument/2006/relationships/hyperlink" Target="https://www.youtube.com/watch?v=oNF4tRAJetw" TargetMode="External"/><Relationship Id="rId221" Type="http://schemas.openxmlformats.org/officeDocument/2006/relationships/hyperlink" Target="https://www.youtube.com/watch?v=-dWtCoZG1tw" TargetMode="External"/><Relationship Id="rId319" Type="http://schemas.openxmlformats.org/officeDocument/2006/relationships/hyperlink" Target="https://www.youtube.com/watch?v=IwH6jb1cTIc&amp;list=PLEnK6o7pdzkdILDqGqkB2bKKHCrxBewbF" TargetMode="External"/><Relationship Id="rId526" Type="http://schemas.openxmlformats.org/officeDocument/2006/relationships/hyperlink" Target="https://oniseptv.onisep.fr/video/bergere" TargetMode="External"/><Relationship Id="rId733" Type="http://schemas.openxmlformats.org/officeDocument/2006/relationships/hyperlink" Target="https://www.youtube.com/watch?v=3B6HxPIomXU" TargetMode="External"/><Relationship Id="rId165" Type="http://schemas.openxmlformats.org/officeDocument/2006/relationships/hyperlink" Target="https://www.youtube.com/watch?v=0I1-3VVNURQ" TargetMode="External"/><Relationship Id="rId372" Type="http://schemas.openxmlformats.org/officeDocument/2006/relationships/hyperlink" Target="https://www.youtube.com/watch?v=vbRzlNLNf9A" TargetMode="External"/><Relationship Id="rId677" Type="http://schemas.openxmlformats.org/officeDocument/2006/relationships/hyperlink" Target="https://www.youtube.com/watch?v=oVmOc-WTN0E&amp;list=PLd6_t9Z4OqpWTfxjp18UuFg9AAZQLLRoI&amp;index=33" TargetMode="External"/><Relationship Id="rId800" Type="http://schemas.openxmlformats.org/officeDocument/2006/relationships/hyperlink" Target="https://www.youtube.com/watch?v=KsAhXyhxLsQ" TargetMode="External"/><Relationship Id="rId232" Type="http://schemas.openxmlformats.org/officeDocument/2006/relationships/hyperlink" Target="https://www.youtube.com/watch?v=2f_QCWBk8Vs" TargetMode="External"/><Relationship Id="rId27" Type="http://schemas.openxmlformats.org/officeDocument/2006/relationships/hyperlink" Target="https://oniseptv.onisep.fr/video/garde_d_espaces_naturels-mp4" TargetMode="External"/><Relationship Id="rId537" Type="http://schemas.openxmlformats.org/officeDocument/2006/relationships/hyperlink" Target="https://www.youtube.com/watch?v=D3NGcI3k2pI" TargetMode="External"/><Relationship Id="rId744" Type="http://schemas.openxmlformats.org/officeDocument/2006/relationships/hyperlink" Target="https://www.youtube.com/watch?v=VNlYVjB25qc" TargetMode="External"/><Relationship Id="rId80" Type="http://schemas.openxmlformats.org/officeDocument/2006/relationships/hyperlink" Target="https://www.youtube.com/watch?v=UCeGh6fNmc4" TargetMode="External"/><Relationship Id="rId176" Type="http://schemas.openxmlformats.org/officeDocument/2006/relationships/hyperlink" Target="https://oniseptv.onisep.fr/video/technicienne-de-recherche" TargetMode="External"/><Relationship Id="rId383" Type="http://schemas.openxmlformats.org/officeDocument/2006/relationships/hyperlink" Target="https://www.youtube.com/watch?v=Lr36N8dqrZw" TargetMode="External"/><Relationship Id="rId590" Type="http://schemas.openxmlformats.org/officeDocument/2006/relationships/hyperlink" Target="https://www.youtube.com/watch?v=oZnLQCX6Jkc" TargetMode="External"/><Relationship Id="rId604" Type="http://schemas.openxmlformats.org/officeDocument/2006/relationships/hyperlink" Target="https://www.youtube.com/watch?v=maqqAR8V38w" TargetMode="External"/><Relationship Id="rId811" Type="http://schemas.openxmlformats.org/officeDocument/2006/relationships/hyperlink" Target="https://www.youtube.com/watch?v=HlnYxqvJ2V8" TargetMode="External"/><Relationship Id="rId243" Type="http://schemas.openxmlformats.org/officeDocument/2006/relationships/hyperlink" Target="https://www.youtube.com/watch?v=T0FpB0GOy34" TargetMode="External"/><Relationship Id="rId450" Type="http://schemas.openxmlformats.org/officeDocument/2006/relationships/hyperlink" Target="https://oniseptv.onisep.fr/video/moniteur-de-parapente" TargetMode="External"/><Relationship Id="rId688" Type="http://schemas.openxmlformats.org/officeDocument/2006/relationships/hyperlink" Target="https://www.youtube.com/watch?v=iNWMjvzB7e0" TargetMode="External"/><Relationship Id="rId38" Type="http://schemas.openxmlformats.org/officeDocument/2006/relationships/hyperlink" Target="https://www.youtube.com/watch?v=lnzJzaseOco" TargetMode="External"/><Relationship Id="rId103" Type="http://schemas.openxmlformats.org/officeDocument/2006/relationships/hyperlink" Target="https://www.youtube.com/watch?v=XoVgWelT2l4" TargetMode="External"/><Relationship Id="rId310" Type="http://schemas.openxmlformats.org/officeDocument/2006/relationships/hyperlink" Target="https://www.youtube.com/watch?v=mI22WVEwLl4" TargetMode="External"/><Relationship Id="rId548" Type="http://schemas.openxmlformats.org/officeDocument/2006/relationships/hyperlink" Target="https://www.youtube.com/watch?v=y_yrOsulKOA" TargetMode="External"/><Relationship Id="rId755" Type="http://schemas.openxmlformats.org/officeDocument/2006/relationships/hyperlink" Target="https://www.youtube.com/watch?v=e0icP82D9WI" TargetMode="External"/><Relationship Id="rId91" Type="http://schemas.openxmlformats.org/officeDocument/2006/relationships/hyperlink" Target="https://www.youtube.com/watch?v=2eVKr2Y6pjs" TargetMode="External"/><Relationship Id="rId187" Type="http://schemas.openxmlformats.org/officeDocument/2006/relationships/hyperlink" Target="https://www.youtube.com/watch?v=7PW4xCAaOnM" TargetMode="External"/><Relationship Id="rId394" Type="http://schemas.openxmlformats.org/officeDocument/2006/relationships/hyperlink" Target="https://www.youtube.com/watch?v=ym3_c2bVQC4" TargetMode="External"/><Relationship Id="rId408" Type="http://schemas.openxmlformats.org/officeDocument/2006/relationships/hyperlink" Target="https://www.youtube.com/watch?v=X5hDf1HYa7k" TargetMode="External"/><Relationship Id="rId615" Type="http://schemas.openxmlformats.org/officeDocument/2006/relationships/hyperlink" Target="https://oniseptv.onisep.fr/video/responsable-de-maintenance-en-agroalimentaire" TargetMode="External"/><Relationship Id="rId822" Type="http://schemas.openxmlformats.org/officeDocument/2006/relationships/hyperlink" Target="https://www.youtube.com/watch?v=Fg7GfzEebH8" TargetMode="External"/><Relationship Id="rId254" Type="http://schemas.openxmlformats.org/officeDocument/2006/relationships/hyperlink" Target="https://www.youtube.com/watch?v=1Cu44OMWlnk" TargetMode="External"/><Relationship Id="rId699" Type="http://schemas.openxmlformats.org/officeDocument/2006/relationships/hyperlink" Target="https://www.youtube.com/watch?v=Im7qIGp7MSc" TargetMode="External"/><Relationship Id="rId49" Type="http://schemas.openxmlformats.org/officeDocument/2006/relationships/hyperlink" Target="https://www.youtube.com/watch?v=tdeRLQzdIL8" TargetMode="External"/><Relationship Id="rId114" Type="http://schemas.openxmlformats.org/officeDocument/2006/relationships/hyperlink" Target="https://www.youtube.com/watch?v=sG7F5eBcaVs" TargetMode="External"/><Relationship Id="rId461" Type="http://schemas.openxmlformats.org/officeDocument/2006/relationships/hyperlink" Target="https://www.youtube.com/watch?v=7jyIS1CKozQ" TargetMode="External"/><Relationship Id="rId559" Type="http://schemas.openxmlformats.org/officeDocument/2006/relationships/hyperlink" Target="https://www.youtube.com/watch?v=CG7whlQF5K4" TargetMode="External"/><Relationship Id="rId766" Type="http://schemas.openxmlformats.org/officeDocument/2006/relationships/hyperlink" Target="https://www.youtube.com/watch?v=iLE4QkQSooM" TargetMode="External"/><Relationship Id="rId198" Type="http://schemas.openxmlformats.org/officeDocument/2006/relationships/hyperlink" Target="https://www.youtube.com/watch?v=fQZ4IYYXRbY" TargetMode="External"/><Relationship Id="rId321" Type="http://schemas.openxmlformats.org/officeDocument/2006/relationships/hyperlink" Target="https://www.youtube.com/watch?v=WQTlrR0Zshw&amp;list=PLEnK6o7pdzkdILDqGqkB2bKKHCrxBewbF&amp;index=6" TargetMode="External"/><Relationship Id="rId419" Type="http://schemas.openxmlformats.org/officeDocument/2006/relationships/hyperlink" Target="https://www.youtube.com/watch?v=VWcz5hrxHtw&amp;list=PLN6yFBDMwmGiqXE0E8s-4M4eGo1scmm25&amp;index=8" TargetMode="External"/><Relationship Id="rId626" Type="http://schemas.openxmlformats.org/officeDocument/2006/relationships/hyperlink" Target="https://www.youtube.com/watch?v=kFjijDoYAKU" TargetMode="External"/><Relationship Id="rId833" Type="http://schemas.openxmlformats.org/officeDocument/2006/relationships/hyperlink" Target="https://www.youtube.com/watch?v=F8acXsRjpRM" TargetMode="External"/><Relationship Id="rId265" Type="http://schemas.openxmlformats.org/officeDocument/2006/relationships/hyperlink" Target="https://www.youtube.com/watch?v=lSCX-3OiQW4" TargetMode="External"/><Relationship Id="rId472" Type="http://schemas.openxmlformats.org/officeDocument/2006/relationships/hyperlink" Target="https://oniseptv.onisep.fr/video/neurochirurgienne-hopital" TargetMode="External"/><Relationship Id="rId125" Type="http://schemas.openxmlformats.org/officeDocument/2006/relationships/hyperlink" Target="https://www.youtube.com/watch?v=9yTe07qiRUI" TargetMode="External"/><Relationship Id="rId332" Type="http://schemas.openxmlformats.org/officeDocument/2006/relationships/hyperlink" Target="https://www.youtube.com/watch?v=b4ijch3YLHc" TargetMode="External"/><Relationship Id="rId777" Type="http://schemas.openxmlformats.org/officeDocument/2006/relationships/hyperlink" Target="https://www.youtube.com/watch?v=fq4aqLm5T7Q" TargetMode="External"/><Relationship Id="rId637" Type="http://schemas.openxmlformats.org/officeDocument/2006/relationships/hyperlink" Target="https://www.youtube.com/watch?v=U1dPHTQJb7E" TargetMode="External"/><Relationship Id="rId276" Type="http://schemas.openxmlformats.org/officeDocument/2006/relationships/hyperlink" Target="https://www.youtube.com/watch?v=rSKfN-FTyK0" TargetMode="External"/><Relationship Id="rId483" Type="http://schemas.openxmlformats.org/officeDocument/2006/relationships/hyperlink" Target="https://oniseptv.onisep.fr/video/dieteticiennes-en-mileu-scolaire" TargetMode="External"/><Relationship Id="rId690" Type="http://schemas.openxmlformats.org/officeDocument/2006/relationships/hyperlink" Target="https://www.youtube.com/shorts/3Ez0qpmT4Vw" TargetMode="External"/><Relationship Id="rId704" Type="http://schemas.openxmlformats.org/officeDocument/2006/relationships/hyperlink" Target="https://www.youtube.com/watch?v=TqeLf2gDDmc" TargetMode="External"/><Relationship Id="rId40" Type="http://schemas.openxmlformats.org/officeDocument/2006/relationships/hyperlink" Target="https://oniseptv.onisep.fr/video/chercheur-en-bio-informatique" TargetMode="External"/><Relationship Id="rId136" Type="http://schemas.openxmlformats.org/officeDocument/2006/relationships/hyperlink" Target="https://www.youtube.com/shorts/d8TqcaKJu5M" TargetMode="External"/><Relationship Id="rId343" Type="http://schemas.openxmlformats.org/officeDocument/2006/relationships/hyperlink" Target="https://www.youtube.com/watch?v=Mxd4zZJk7vs" TargetMode="External"/><Relationship Id="rId550" Type="http://schemas.openxmlformats.org/officeDocument/2006/relationships/hyperlink" Target="https://www.youtube.com/watch?v=CNt45ox6Reg" TargetMode="External"/><Relationship Id="rId788" Type="http://schemas.openxmlformats.org/officeDocument/2006/relationships/hyperlink" Target="https://www.youtube.com/watch?v=ttDDskif6l4" TargetMode="External"/><Relationship Id="rId203" Type="http://schemas.openxmlformats.org/officeDocument/2006/relationships/hyperlink" Target="https://oniseptv.onisep.fr/video/ingenieure-d-etudes-en-climat-urbain" TargetMode="External"/><Relationship Id="rId648" Type="http://schemas.openxmlformats.org/officeDocument/2006/relationships/hyperlink" Target="https://www.youtube.com/watch?v=998sT1XpqkA" TargetMode="External"/><Relationship Id="rId287" Type="http://schemas.openxmlformats.org/officeDocument/2006/relationships/hyperlink" Target="https://www.youtube.com/watch?v=khpSKAprYHo" TargetMode="External"/><Relationship Id="rId410" Type="http://schemas.openxmlformats.org/officeDocument/2006/relationships/hyperlink" Target="https://www.youtube.com/watch?v=vAToXi38shs" TargetMode="External"/><Relationship Id="rId494" Type="http://schemas.openxmlformats.org/officeDocument/2006/relationships/hyperlink" Target="https://www.youtube.com/watch?v=i2RxKoaeeg0" TargetMode="External"/><Relationship Id="rId508" Type="http://schemas.openxmlformats.org/officeDocument/2006/relationships/hyperlink" Target="https://www.youtube.com/watch?v=iCMWWxjoCxM" TargetMode="External"/><Relationship Id="rId715" Type="http://schemas.openxmlformats.org/officeDocument/2006/relationships/hyperlink" Target="https://www.youtube.com/watch?v=gvvuesO6Lhs" TargetMode="External"/><Relationship Id="rId147" Type="http://schemas.openxmlformats.org/officeDocument/2006/relationships/hyperlink" Target="https://www.youtube.com/watch?v=1FWZIn29XQ0" TargetMode="External"/><Relationship Id="rId354" Type="http://schemas.openxmlformats.org/officeDocument/2006/relationships/hyperlink" Target="https://oniseptv.onisep.fr/video/responsable-adjoint-d-une-station-d-epuration" TargetMode="External"/><Relationship Id="rId799" Type="http://schemas.openxmlformats.org/officeDocument/2006/relationships/hyperlink" Target="https://www.youtube.com/watch?v=KsAhXyhxLsQ" TargetMode="External"/><Relationship Id="rId51" Type="http://schemas.openxmlformats.org/officeDocument/2006/relationships/hyperlink" Target="https://www.youtube.com/watch?v=UCeGh6fNmc4" TargetMode="External"/><Relationship Id="rId561" Type="http://schemas.openxmlformats.org/officeDocument/2006/relationships/hyperlink" Target="https://www.youtube.com/watch?v=9QDJDaZXR0M" TargetMode="External"/><Relationship Id="rId659" Type="http://schemas.openxmlformats.org/officeDocument/2006/relationships/hyperlink" Target="https://www.youtube.com/watch?v=T4z9LgwFWJI" TargetMode="External"/><Relationship Id="rId214" Type="http://schemas.openxmlformats.org/officeDocument/2006/relationships/hyperlink" Target="https://www.youtube.com/watch?v=cFtlgNrbQvk" TargetMode="External"/><Relationship Id="rId298" Type="http://schemas.openxmlformats.org/officeDocument/2006/relationships/hyperlink" Target="https://www.youtube.com/watch?v=3jKzryob6h8" TargetMode="External"/><Relationship Id="rId421" Type="http://schemas.openxmlformats.org/officeDocument/2006/relationships/hyperlink" Target="https://www.youtube.com/watch?v=9zqiUdmVBMk" TargetMode="External"/><Relationship Id="rId519" Type="http://schemas.openxmlformats.org/officeDocument/2006/relationships/hyperlink" Target="https://www.youtube.com/watch?v=HNdqZJC8LaY" TargetMode="External"/><Relationship Id="rId158" Type="http://schemas.openxmlformats.org/officeDocument/2006/relationships/hyperlink" Target="https://www.youtube.com/watch?v=MpTdcFS9IC8" TargetMode="External"/><Relationship Id="rId726" Type="http://schemas.openxmlformats.org/officeDocument/2006/relationships/hyperlink" Target="https://www.youtube.com/watch?v=jE8bhrv2uSU" TargetMode="External"/><Relationship Id="rId62" Type="http://schemas.openxmlformats.org/officeDocument/2006/relationships/hyperlink" Target="https://oniseptv.onisep.fr/video/ingenieure-detude-au-cnrs" TargetMode="External"/><Relationship Id="rId365" Type="http://schemas.openxmlformats.org/officeDocument/2006/relationships/hyperlink" Target="https://www.youtube.com/watch?v=-eFGDOTbZN4" TargetMode="External"/><Relationship Id="rId572" Type="http://schemas.openxmlformats.org/officeDocument/2006/relationships/hyperlink" Target="https://www.youtube.com/watch?v=QaXw9WyDzh8" TargetMode="External"/><Relationship Id="rId225" Type="http://schemas.openxmlformats.org/officeDocument/2006/relationships/hyperlink" Target="https://www.youtube.com/watch?v=c-71oOln4qo" TargetMode="External"/><Relationship Id="rId432" Type="http://schemas.openxmlformats.org/officeDocument/2006/relationships/hyperlink" Target="https://www.youtube.com/watch?v=o2j8haEyfck&amp;list=PLd6_t9Z4OqpWTfxjp18UuFg9AAZQLLRoI&amp;index=2" TargetMode="External"/><Relationship Id="rId737" Type="http://schemas.openxmlformats.org/officeDocument/2006/relationships/hyperlink" Target="https://www.youtube.com/watch?v=3aaCgujefoY" TargetMode="External"/><Relationship Id="rId73" Type="http://schemas.openxmlformats.org/officeDocument/2006/relationships/hyperlink" Target="https://oniseptv.onisep.fr/video/technicien-de-laboratoire-en-biotechnologies" TargetMode="External"/><Relationship Id="rId169" Type="http://schemas.openxmlformats.org/officeDocument/2006/relationships/hyperlink" Target="https://oniseptv.onisep.fr/video/chercheuse-en-climatologie-au-cea" TargetMode="External"/><Relationship Id="rId376" Type="http://schemas.openxmlformats.org/officeDocument/2006/relationships/hyperlink" Target="https://www.youtube.com/watch?v=SKOuLdXvGdY" TargetMode="External"/><Relationship Id="rId583" Type="http://schemas.openxmlformats.org/officeDocument/2006/relationships/hyperlink" Target="https://www.youtube.com/watch?v=DEw3hOkoX9k" TargetMode="External"/><Relationship Id="rId790" Type="http://schemas.openxmlformats.org/officeDocument/2006/relationships/hyperlink" Target="https://www.youtube.com/watch?v=k6OSr83rKtw" TargetMode="External"/><Relationship Id="rId804" Type="http://schemas.openxmlformats.org/officeDocument/2006/relationships/hyperlink" Target="https://www.youtube.com/watch?v=Bw3ThPW2mCM" TargetMode="External"/><Relationship Id="rId4" Type="http://schemas.openxmlformats.org/officeDocument/2006/relationships/hyperlink" Target="https://www.youtube.com/watch?v=ncTTsng_BG0" TargetMode="External"/><Relationship Id="rId236" Type="http://schemas.openxmlformats.org/officeDocument/2006/relationships/hyperlink" Target="https://www.youtube.com/watch?v=CkJ3eVtrlos" TargetMode="External"/><Relationship Id="rId443" Type="http://schemas.openxmlformats.org/officeDocument/2006/relationships/hyperlink" Target="https://oniseptv.onisep.fr/video/assistant-moniteur-sportif-dans-l-armee-de-terre" TargetMode="External"/><Relationship Id="rId650" Type="http://schemas.openxmlformats.org/officeDocument/2006/relationships/hyperlink" Target="https://www.youtube.com/watch?v=24bi5I4CFps&amp;list=PLjvQtIQcsQ7FdN1QaUW3dmhOPaj-63xDr&amp;index=4" TargetMode="External"/><Relationship Id="rId303" Type="http://schemas.openxmlformats.org/officeDocument/2006/relationships/hyperlink" Target="https://www.youtube.com/watch?v=YREBnWo1FQQ" TargetMode="External"/><Relationship Id="rId748" Type="http://schemas.openxmlformats.org/officeDocument/2006/relationships/hyperlink" Target="https://www.youtube.com/watch?v=feKVC1bQnto" TargetMode="External"/><Relationship Id="rId84" Type="http://schemas.openxmlformats.org/officeDocument/2006/relationships/hyperlink" Target="https://www.youtube.com/watch?v=SiPAqywHcVQ" TargetMode="External"/><Relationship Id="rId387" Type="http://schemas.openxmlformats.org/officeDocument/2006/relationships/hyperlink" Target="https://www.youtube.com/watch?v=wqbZYuctaac" TargetMode="External"/><Relationship Id="rId510" Type="http://schemas.openxmlformats.org/officeDocument/2006/relationships/hyperlink" Target="https://www.youtube.com/watch?v=VbZSkcGiZps" TargetMode="External"/><Relationship Id="rId594" Type="http://schemas.openxmlformats.org/officeDocument/2006/relationships/hyperlink" Target="https://www.youtube.com/watch?v=LU8Z71GZaGc" TargetMode="External"/><Relationship Id="rId608" Type="http://schemas.openxmlformats.org/officeDocument/2006/relationships/hyperlink" Target="https://www.youtube.com/watch?v=TBLfKByp98g" TargetMode="External"/><Relationship Id="rId815" Type="http://schemas.openxmlformats.org/officeDocument/2006/relationships/hyperlink" Target="https://www.youtube.com/watch?v=Ty7zHrKlBQQ" TargetMode="External"/><Relationship Id="rId247" Type="http://schemas.openxmlformats.org/officeDocument/2006/relationships/hyperlink" Target="https://www.youtube.com/watch?v=tqojl0sdGKQ" TargetMode="External"/><Relationship Id="rId107" Type="http://schemas.openxmlformats.org/officeDocument/2006/relationships/hyperlink" Target="https://oniseptv.onisep.fr/video/geomaticienne-dans-mon-job-les-metiers-du-numerique" TargetMode="External"/><Relationship Id="rId454" Type="http://schemas.openxmlformats.org/officeDocument/2006/relationships/hyperlink" Target="https://oniseptv.onisep.fr/video/monitrice-de-vtt" TargetMode="External"/><Relationship Id="rId661" Type="http://schemas.openxmlformats.org/officeDocument/2006/relationships/hyperlink" Target="https://www.youtube.com/watch?v=Ptvb1ZTf4is" TargetMode="External"/><Relationship Id="rId759" Type="http://schemas.openxmlformats.org/officeDocument/2006/relationships/hyperlink" Target="https://www.youtube.com/watch?v=89l8FzJITiQ" TargetMode="External"/><Relationship Id="rId11" Type="http://schemas.openxmlformats.org/officeDocument/2006/relationships/hyperlink" Target="https://www.youtube.com/watch?v=oTqtqQjhzzo" TargetMode="External"/><Relationship Id="rId314" Type="http://schemas.openxmlformats.org/officeDocument/2006/relationships/hyperlink" Target="https://oniseptv.onisep.fr/video/agente-hydrothermale" TargetMode="External"/><Relationship Id="rId398" Type="http://schemas.openxmlformats.org/officeDocument/2006/relationships/hyperlink" Target="https://www.youtube.com/watch?v=cWulu7QD1eQ" TargetMode="External"/><Relationship Id="rId521" Type="http://schemas.openxmlformats.org/officeDocument/2006/relationships/hyperlink" Target="https://www.youtube.com/watch?v=cnV0NTqowjw" TargetMode="External"/><Relationship Id="rId619" Type="http://schemas.openxmlformats.org/officeDocument/2006/relationships/hyperlink" Target="https://www.youtube.com/watch?v=o2QW2Ectnm0" TargetMode="External"/><Relationship Id="rId95" Type="http://schemas.openxmlformats.org/officeDocument/2006/relationships/hyperlink" Target="https://www.youtube.com/watch?v=h4i9w3JDUy4" TargetMode="External"/><Relationship Id="rId160" Type="http://schemas.openxmlformats.org/officeDocument/2006/relationships/hyperlink" Target="https://www.youtube.com/watch?v=I4r9FUoLp4c" TargetMode="External"/><Relationship Id="rId826" Type="http://schemas.openxmlformats.org/officeDocument/2006/relationships/hyperlink" Target="https://www.youtube.com/watch?v=sXz1VjbbUhk" TargetMode="External"/><Relationship Id="rId258" Type="http://schemas.openxmlformats.org/officeDocument/2006/relationships/hyperlink" Target="https://www.youtube.com/watch?v=S0o4yMm_Zmg" TargetMode="External"/><Relationship Id="rId465" Type="http://schemas.openxmlformats.org/officeDocument/2006/relationships/hyperlink" Target="https://www.youtube.com/watch?v=UzbD1q3Xq7I" TargetMode="External"/><Relationship Id="rId672" Type="http://schemas.openxmlformats.org/officeDocument/2006/relationships/hyperlink" Target="https://www.youtube.com/watch?v=6nTsn7-B_lk&amp;list=PLd6_t9Z4OqpWTfxjp18UuFg9AAZQLLRoI&amp;index=30" TargetMode="External"/><Relationship Id="rId22" Type="http://schemas.openxmlformats.org/officeDocument/2006/relationships/hyperlink" Target="https://www.youtube.com/watch?v=jLb3lRa3osA" TargetMode="External"/><Relationship Id="rId118" Type="http://schemas.openxmlformats.org/officeDocument/2006/relationships/hyperlink" Target="https://www.youtube.com/watch?v=KK5FxyFAleg" TargetMode="External"/><Relationship Id="rId325" Type="http://schemas.openxmlformats.org/officeDocument/2006/relationships/hyperlink" Target="https://www.youtube.com/shorts/1v6BYVevq_M" TargetMode="External"/><Relationship Id="rId532" Type="http://schemas.openxmlformats.org/officeDocument/2006/relationships/hyperlink" Target="https://www.youtube.com/watch?v=6tt4w9I80-4" TargetMode="External"/><Relationship Id="rId171" Type="http://schemas.openxmlformats.org/officeDocument/2006/relationships/hyperlink" Target="https://www.youtube.com/watch?v=-AdeCXuU59w" TargetMode="External"/><Relationship Id="rId837" Type="http://schemas.openxmlformats.org/officeDocument/2006/relationships/vmlDrawing" Target="../drawings/vmlDrawing1.vml"/><Relationship Id="rId269" Type="http://schemas.openxmlformats.org/officeDocument/2006/relationships/hyperlink" Target="https://www.youtube.com/watch?v=ksueXhuAqIg" TargetMode="External"/><Relationship Id="rId476" Type="http://schemas.openxmlformats.org/officeDocument/2006/relationships/hyperlink" Target="https://www.youtube.com/watch?v=lSCX-3OiQW4" TargetMode="External"/><Relationship Id="rId683" Type="http://schemas.openxmlformats.org/officeDocument/2006/relationships/hyperlink" Target="https://www.youtube.com/watch?v=MPR_y_-ipdQ&amp;list=PLd6_t9Z4OqpWTfxjp18UuFg9AAZQLLRoI&amp;index=37" TargetMode="External"/><Relationship Id="rId33" Type="http://schemas.openxmlformats.org/officeDocument/2006/relationships/hyperlink" Target="https://www.youtube.com/shorts/YfZF3TPAbaw" TargetMode="External"/><Relationship Id="rId129" Type="http://schemas.openxmlformats.org/officeDocument/2006/relationships/hyperlink" Target="https://www.youtube.com/watch?v=uKqFQlFT-14" TargetMode="External"/><Relationship Id="rId336" Type="http://schemas.openxmlformats.org/officeDocument/2006/relationships/hyperlink" Target="https://www.youtube.com/watch?v=NOa-99QZ1VQ" TargetMode="External"/><Relationship Id="rId543" Type="http://schemas.openxmlformats.org/officeDocument/2006/relationships/hyperlink" Target="https://www.youtube.com/watch?v=79Wtw8vBQnI" TargetMode="External"/><Relationship Id="rId182" Type="http://schemas.openxmlformats.org/officeDocument/2006/relationships/hyperlink" Target="https://www.youtube.com/watch?v=HLzSb86pPEU" TargetMode="External"/><Relationship Id="rId403" Type="http://schemas.openxmlformats.org/officeDocument/2006/relationships/hyperlink" Target="https://www.youtube.com/watch?v=59MC1XMyJZo" TargetMode="External"/><Relationship Id="rId750" Type="http://schemas.openxmlformats.org/officeDocument/2006/relationships/hyperlink" Target="https://www.youtube.com/watch?v=R3rbrMBVi6E" TargetMode="External"/><Relationship Id="rId487" Type="http://schemas.openxmlformats.org/officeDocument/2006/relationships/hyperlink" Target="https://www.youtube.com/watch?v=86EY_ctWCJ4" TargetMode="External"/><Relationship Id="rId610" Type="http://schemas.openxmlformats.org/officeDocument/2006/relationships/hyperlink" Target="https://oniseptv.onisep.fr/video/yoann-conducteur-de-ligne-de-production-alimentaire" TargetMode="External"/><Relationship Id="rId694" Type="http://schemas.openxmlformats.org/officeDocument/2006/relationships/hyperlink" Target="https://www.youtube.com/watch?v=OGHRHFt-aNA" TargetMode="External"/><Relationship Id="rId708" Type="http://schemas.openxmlformats.org/officeDocument/2006/relationships/hyperlink" Target="https://www.youtube.com/watch?v=hojug0g8O5U" TargetMode="External"/><Relationship Id="rId347" Type="http://schemas.openxmlformats.org/officeDocument/2006/relationships/hyperlink" Target="https://www.youtube.com/watch?v=gMdiOG596gM" TargetMode="External"/><Relationship Id="rId44" Type="http://schemas.openxmlformats.org/officeDocument/2006/relationships/hyperlink" Target="https://oniseptv.onisep.fr/video/cogniticien-dans-mon-job-les-metiers-du-numerique" TargetMode="External"/><Relationship Id="rId554" Type="http://schemas.openxmlformats.org/officeDocument/2006/relationships/hyperlink" Target="https://www.youtube.com/watch?v=nOHvcIU9Nls" TargetMode="External"/><Relationship Id="rId761" Type="http://schemas.openxmlformats.org/officeDocument/2006/relationships/hyperlink" Target="https://www.youtube.com/watch?v=0g1A2sjxd-8" TargetMode="External"/><Relationship Id="rId193" Type="http://schemas.openxmlformats.org/officeDocument/2006/relationships/hyperlink" Target="https://oniseptv.onisep.fr/video/responsable-adjoint-d-une-station-d-epuration" TargetMode="External"/><Relationship Id="rId207" Type="http://schemas.openxmlformats.org/officeDocument/2006/relationships/hyperlink" Target="https://www.youtube.com/watch?v=OvRE0mLDOko" TargetMode="External"/><Relationship Id="rId414" Type="http://schemas.openxmlformats.org/officeDocument/2006/relationships/hyperlink" Target="https://vimeo.com/378978116" TargetMode="External"/><Relationship Id="rId498" Type="http://schemas.openxmlformats.org/officeDocument/2006/relationships/hyperlink" Target="https://www.youtube.com/watch?v=zO361SZf8WU" TargetMode="External"/><Relationship Id="rId621" Type="http://schemas.openxmlformats.org/officeDocument/2006/relationships/hyperlink" Target="https://www.youtube.com/watch?v=c5pBr-l-UcY" TargetMode="External"/><Relationship Id="rId260" Type="http://schemas.openxmlformats.org/officeDocument/2006/relationships/hyperlink" Target="https://www.youtube.com/watch?v=lSCX-3OiQW4" TargetMode="External"/><Relationship Id="rId719" Type="http://schemas.openxmlformats.org/officeDocument/2006/relationships/hyperlink" Target="https://www.youtube.com/watch?v=XQL9pciiwRA" TargetMode="External"/><Relationship Id="rId55" Type="http://schemas.openxmlformats.org/officeDocument/2006/relationships/hyperlink" Target="https://www.youtube.com/watch?v=9yTe07qiRUI" TargetMode="External"/><Relationship Id="rId120" Type="http://schemas.openxmlformats.org/officeDocument/2006/relationships/hyperlink" Target="https://www.youtube.com/watch?v=z8tphcVvcNY" TargetMode="External"/><Relationship Id="rId358" Type="http://schemas.openxmlformats.org/officeDocument/2006/relationships/hyperlink" Target="https://www.youtube.com/watch?v=jYnLgRQepBk" TargetMode="External"/><Relationship Id="rId565" Type="http://schemas.openxmlformats.org/officeDocument/2006/relationships/hyperlink" Target="https://www.youtube.com/watch?v=Z8AETciUwxU" TargetMode="External"/><Relationship Id="rId772" Type="http://schemas.openxmlformats.org/officeDocument/2006/relationships/hyperlink" Target="https://www.youtube.com/watch?v=XWIbhXkv89c"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workbookViewId="0">
      <selection activeCell="D23" sqref="D23"/>
    </sheetView>
  </sheetViews>
  <sheetFormatPr baseColWidth="10" defaultColWidth="8.88671875" defaultRowHeight="14.4" x14ac:dyDescent="0.3"/>
  <cols>
    <col min="1" max="1" width="4" customWidth="1"/>
    <col min="2" max="2" width="6" customWidth="1"/>
    <col min="3" max="3" width="50" customWidth="1"/>
    <col min="4" max="4" width="22" customWidth="1"/>
  </cols>
  <sheetData>
    <row r="1" spans="2:4" ht="10.050000000000001" customHeight="1" x14ac:dyDescent="0.3"/>
    <row r="2" spans="2:4" ht="36" customHeight="1" x14ac:dyDescent="0.3">
      <c r="B2" s="139" t="s">
        <v>1187</v>
      </c>
      <c r="C2" s="137"/>
      <c r="D2" s="137"/>
    </row>
    <row r="3" spans="2:4" ht="22.05" customHeight="1" x14ac:dyDescent="0.3">
      <c r="B3" s="138" t="str">
        <f>TEXT(COUNTA(C6:C70),"0")&amp;" catégories classées alphabétiquement  •  Cliquer pour naviguer"</f>
        <v>65 catégories classées alphabétiquement  •  Cliquer pour naviguer</v>
      </c>
      <c r="C3" s="137"/>
      <c r="D3" s="137"/>
    </row>
    <row r="4" spans="2:4" ht="7.95" customHeight="1" x14ac:dyDescent="0.3"/>
    <row r="5" spans="2:4" ht="19.95" customHeight="1" x14ac:dyDescent="0.3">
      <c r="B5" s="113" t="s">
        <v>1188</v>
      </c>
      <c r="C5" s="114" t="s">
        <v>1189</v>
      </c>
      <c r="D5" s="113" t="s">
        <v>1190</v>
      </c>
    </row>
    <row r="6" spans="2:4" ht="22.05" customHeight="1" x14ac:dyDescent="0.3">
      <c r="B6" s="155">
        <f t="shared" ref="B6:B37" si="0">ROW()-5</f>
        <v>1</v>
      </c>
      <c r="C6" s="158" t="s">
        <v>1363</v>
      </c>
      <c r="D6" s="115" t="s">
        <v>1191</v>
      </c>
    </row>
    <row r="7" spans="2:4" ht="22.05" customHeight="1" x14ac:dyDescent="0.3">
      <c r="B7" s="156">
        <f t="shared" si="0"/>
        <v>2</v>
      </c>
      <c r="C7" s="159" t="s">
        <v>1357</v>
      </c>
      <c r="D7" s="115" t="s">
        <v>1191</v>
      </c>
    </row>
    <row r="8" spans="2:4" ht="22.05" customHeight="1" x14ac:dyDescent="0.3">
      <c r="B8" s="155">
        <f t="shared" si="0"/>
        <v>3</v>
      </c>
      <c r="C8" s="158" t="s">
        <v>1361</v>
      </c>
      <c r="D8" s="115" t="s">
        <v>1191</v>
      </c>
    </row>
    <row r="9" spans="2:4" ht="22.05" customHeight="1" x14ac:dyDescent="0.3">
      <c r="B9" s="156">
        <f t="shared" si="0"/>
        <v>4</v>
      </c>
      <c r="C9" s="159" t="s">
        <v>1359</v>
      </c>
      <c r="D9" s="115" t="s">
        <v>1191</v>
      </c>
    </row>
    <row r="10" spans="2:4" ht="22.05" customHeight="1" x14ac:dyDescent="0.3">
      <c r="B10" s="155">
        <f t="shared" si="0"/>
        <v>5</v>
      </c>
      <c r="C10" s="158" t="s">
        <v>1349</v>
      </c>
      <c r="D10" s="115" t="s">
        <v>1191</v>
      </c>
    </row>
    <row r="11" spans="2:4" ht="22.05" customHeight="1" x14ac:dyDescent="0.3">
      <c r="B11" s="156">
        <f t="shared" si="0"/>
        <v>6</v>
      </c>
      <c r="C11" s="159" t="s">
        <v>1343</v>
      </c>
      <c r="D11" s="115" t="s">
        <v>1191</v>
      </c>
    </row>
    <row r="12" spans="2:4" ht="22.05" customHeight="1" x14ac:dyDescent="0.3">
      <c r="B12" s="155">
        <f t="shared" si="0"/>
        <v>7</v>
      </c>
      <c r="C12" s="158" t="s">
        <v>1347</v>
      </c>
      <c r="D12" s="115" t="s">
        <v>1191</v>
      </c>
    </row>
    <row r="13" spans="2:4" ht="22.05" customHeight="1" x14ac:dyDescent="0.3">
      <c r="B13" s="156">
        <f t="shared" si="0"/>
        <v>8</v>
      </c>
      <c r="C13" s="159" t="s">
        <v>1345</v>
      </c>
      <c r="D13" s="115" t="s">
        <v>1191</v>
      </c>
    </row>
    <row r="14" spans="2:4" ht="22.05" customHeight="1" x14ac:dyDescent="0.3">
      <c r="B14" s="155">
        <f t="shared" si="0"/>
        <v>9</v>
      </c>
      <c r="C14" s="158" t="s">
        <v>1038</v>
      </c>
      <c r="D14" s="115" t="s">
        <v>1191</v>
      </c>
    </row>
    <row r="15" spans="2:4" ht="22.05" customHeight="1" x14ac:dyDescent="0.3">
      <c r="B15" s="156">
        <f t="shared" si="0"/>
        <v>10</v>
      </c>
      <c r="C15" s="159" t="s">
        <v>180</v>
      </c>
      <c r="D15" s="115" t="s">
        <v>1191</v>
      </c>
    </row>
    <row r="16" spans="2:4" ht="22.05" customHeight="1" x14ac:dyDescent="0.3">
      <c r="B16" s="155">
        <f t="shared" si="0"/>
        <v>11</v>
      </c>
      <c r="C16" s="158" t="s">
        <v>190</v>
      </c>
      <c r="D16" s="115" t="s">
        <v>1191</v>
      </c>
    </row>
    <row r="17" spans="2:4" ht="22.05" customHeight="1" x14ac:dyDescent="0.3">
      <c r="B17" s="156">
        <f t="shared" si="0"/>
        <v>12</v>
      </c>
      <c r="C17" s="159" t="s">
        <v>247</v>
      </c>
      <c r="D17" s="115" t="s">
        <v>1191</v>
      </c>
    </row>
    <row r="18" spans="2:4" ht="22.05" customHeight="1" x14ac:dyDescent="0.3">
      <c r="B18" s="155">
        <f t="shared" si="0"/>
        <v>13</v>
      </c>
      <c r="C18" s="158" t="s">
        <v>265</v>
      </c>
      <c r="D18" s="115" t="s">
        <v>1191</v>
      </c>
    </row>
    <row r="19" spans="2:4" ht="22.05" customHeight="1" x14ac:dyDescent="0.3">
      <c r="B19" s="156">
        <f t="shared" si="0"/>
        <v>14</v>
      </c>
      <c r="C19" s="159" t="s">
        <v>283</v>
      </c>
      <c r="D19" s="115" t="s">
        <v>1191</v>
      </c>
    </row>
    <row r="20" spans="2:4" s="52" customFormat="1" ht="22.05" customHeight="1" x14ac:dyDescent="0.3">
      <c r="B20" s="155">
        <f t="shared" si="0"/>
        <v>15</v>
      </c>
      <c r="C20" s="158" t="s">
        <v>288</v>
      </c>
      <c r="D20" s="115" t="s">
        <v>1191</v>
      </c>
    </row>
    <row r="21" spans="2:4" ht="22.05" customHeight="1" x14ac:dyDescent="0.3">
      <c r="B21" s="156">
        <f t="shared" si="0"/>
        <v>16</v>
      </c>
      <c r="C21" s="159" t="s">
        <v>1050</v>
      </c>
      <c r="D21" s="115" t="s">
        <v>1191</v>
      </c>
    </row>
    <row r="22" spans="2:4" s="52" customFormat="1" ht="22.05" customHeight="1" x14ac:dyDescent="0.3">
      <c r="B22" s="155">
        <f t="shared" si="0"/>
        <v>17</v>
      </c>
      <c r="C22" s="158" t="s">
        <v>300</v>
      </c>
      <c r="D22" s="115" t="s">
        <v>1191</v>
      </c>
    </row>
    <row r="23" spans="2:4" ht="22.05" customHeight="1" x14ac:dyDescent="0.3">
      <c r="B23" s="156">
        <f t="shared" si="0"/>
        <v>18</v>
      </c>
      <c r="C23" s="159" t="s">
        <v>342</v>
      </c>
      <c r="D23" s="115" t="s">
        <v>1191</v>
      </c>
    </row>
    <row r="24" spans="2:4" ht="22.05" customHeight="1" x14ac:dyDescent="0.3">
      <c r="B24" s="155">
        <f t="shared" si="0"/>
        <v>19</v>
      </c>
      <c r="C24" s="158" t="s">
        <v>351</v>
      </c>
      <c r="D24" s="115" t="s">
        <v>1191</v>
      </c>
    </row>
    <row r="25" spans="2:4" ht="22.05" customHeight="1" x14ac:dyDescent="0.3">
      <c r="B25" s="156">
        <f t="shared" si="0"/>
        <v>20</v>
      </c>
      <c r="C25" s="159" t="s">
        <v>365</v>
      </c>
      <c r="D25" s="115" t="s">
        <v>1191</v>
      </c>
    </row>
    <row r="26" spans="2:4" ht="22.05" customHeight="1" x14ac:dyDescent="0.3">
      <c r="B26" s="155">
        <f t="shared" si="0"/>
        <v>21</v>
      </c>
      <c r="C26" s="158" t="s">
        <v>1174</v>
      </c>
      <c r="D26" s="115" t="s">
        <v>1191</v>
      </c>
    </row>
    <row r="27" spans="2:4" ht="22.05" customHeight="1" x14ac:dyDescent="0.3">
      <c r="B27" s="156">
        <f t="shared" si="0"/>
        <v>22</v>
      </c>
      <c r="C27" s="159" t="s">
        <v>387</v>
      </c>
      <c r="D27" s="115" t="s">
        <v>1191</v>
      </c>
    </row>
    <row r="28" spans="2:4" ht="22.05" customHeight="1" x14ac:dyDescent="0.3">
      <c r="B28" s="155">
        <f t="shared" si="0"/>
        <v>23</v>
      </c>
      <c r="C28" s="158" t="s">
        <v>1141</v>
      </c>
      <c r="D28" s="115" t="s">
        <v>1191</v>
      </c>
    </row>
    <row r="29" spans="2:4" ht="22.05" customHeight="1" x14ac:dyDescent="0.3">
      <c r="B29" s="156">
        <f t="shared" si="0"/>
        <v>24</v>
      </c>
      <c r="C29" s="159" t="s">
        <v>1052</v>
      </c>
      <c r="D29" s="115" t="s">
        <v>1191</v>
      </c>
    </row>
    <row r="30" spans="2:4" ht="22.05" customHeight="1" x14ac:dyDescent="0.3">
      <c r="B30" s="155">
        <f t="shared" si="0"/>
        <v>25</v>
      </c>
      <c r="C30" s="158" t="s">
        <v>1298</v>
      </c>
      <c r="D30" s="115" t="s">
        <v>1191</v>
      </c>
    </row>
    <row r="31" spans="2:4" ht="22.05" customHeight="1" x14ac:dyDescent="0.3">
      <c r="B31" s="156">
        <f t="shared" si="0"/>
        <v>26</v>
      </c>
      <c r="C31" s="159" t="s">
        <v>418</v>
      </c>
      <c r="D31" s="115" t="s">
        <v>1191</v>
      </c>
    </row>
    <row r="32" spans="2:4" ht="22.05" customHeight="1" x14ac:dyDescent="0.3">
      <c r="B32" s="155">
        <f t="shared" si="0"/>
        <v>27</v>
      </c>
      <c r="C32" s="158" t="s">
        <v>441</v>
      </c>
      <c r="D32" s="115" t="s">
        <v>1191</v>
      </c>
    </row>
    <row r="33" spans="1:4" s="52" customFormat="1" ht="22.05" customHeight="1" x14ac:dyDescent="0.3">
      <c r="B33" s="156">
        <f t="shared" si="0"/>
        <v>28</v>
      </c>
      <c r="C33" s="159" t="s">
        <v>1353</v>
      </c>
      <c r="D33" s="115" t="s">
        <v>1191</v>
      </c>
    </row>
    <row r="34" spans="1:4" ht="22.05" customHeight="1" x14ac:dyDescent="0.3">
      <c r="B34" s="155">
        <f t="shared" si="0"/>
        <v>29</v>
      </c>
      <c r="C34" s="158" t="s">
        <v>1351</v>
      </c>
      <c r="D34" s="115" t="s">
        <v>1191</v>
      </c>
    </row>
    <row r="35" spans="1:4" ht="22.05" customHeight="1" x14ac:dyDescent="0.3">
      <c r="B35" s="156">
        <f t="shared" si="0"/>
        <v>30</v>
      </c>
      <c r="C35" s="159" t="s">
        <v>1355</v>
      </c>
      <c r="D35" s="115" t="s">
        <v>1191</v>
      </c>
    </row>
    <row r="36" spans="1:4" ht="22.05" customHeight="1" x14ac:dyDescent="0.3">
      <c r="B36" s="155">
        <f t="shared" si="0"/>
        <v>31</v>
      </c>
      <c r="C36" s="158" t="s">
        <v>548</v>
      </c>
      <c r="D36" s="115" t="s">
        <v>1191</v>
      </c>
    </row>
    <row r="37" spans="1:4" ht="22.05" customHeight="1" x14ac:dyDescent="0.3">
      <c r="B37" s="156">
        <f t="shared" si="0"/>
        <v>32</v>
      </c>
      <c r="C37" s="159" t="s">
        <v>1056</v>
      </c>
      <c r="D37" s="115" t="s">
        <v>1191</v>
      </c>
    </row>
    <row r="38" spans="1:4" ht="22.05" customHeight="1" x14ac:dyDescent="0.3">
      <c r="B38" s="155">
        <f t="shared" ref="B38:B70" si="1">ROW()-5</f>
        <v>33</v>
      </c>
      <c r="C38" s="158" t="s">
        <v>572</v>
      </c>
      <c r="D38" s="115" t="s">
        <v>1191</v>
      </c>
    </row>
    <row r="39" spans="1:4" ht="22.05" customHeight="1" x14ac:dyDescent="0.3">
      <c r="B39" s="156">
        <f t="shared" si="1"/>
        <v>34</v>
      </c>
      <c r="C39" s="159" t="s">
        <v>604</v>
      </c>
      <c r="D39" s="115" t="s">
        <v>1191</v>
      </c>
    </row>
    <row r="40" spans="1:4" ht="22.05" customHeight="1" x14ac:dyDescent="0.3">
      <c r="B40" s="155">
        <f t="shared" si="1"/>
        <v>35</v>
      </c>
      <c r="C40" s="158" t="s">
        <v>1166</v>
      </c>
      <c r="D40" s="115" t="s">
        <v>1191</v>
      </c>
    </row>
    <row r="41" spans="1:4" ht="22.05" customHeight="1" x14ac:dyDescent="0.3">
      <c r="B41" s="156">
        <f t="shared" si="1"/>
        <v>36</v>
      </c>
      <c r="C41" s="159" t="s">
        <v>628</v>
      </c>
      <c r="D41" s="115" t="s">
        <v>1191</v>
      </c>
    </row>
    <row r="42" spans="1:4" ht="22.05" customHeight="1" x14ac:dyDescent="0.3">
      <c r="B42" s="155">
        <f t="shared" si="1"/>
        <v>37</v>
      </c>
      <c r="C42" s="158" t="s">
        <v>1064</v>
      </c>
      <c r="D42" s="115" t="s">
        <v>1191</v>
      </c>
    </row>
    <row r="43" spans="1:4" s="52" customFormat="1" ht="22.05" customHeight="1" x14ac:dyDescent="0.3">
      <c r="A43"/>
      <c r="B43" s="156">
        <f t="shared" si="1"/>
        <v>38</v>
      </c>
      <c r="C43" s="159" t="s">
        <v>1076</v>
      </c>
      <c r="D43" s="115" t="s">
        <v>1191</v>
      </c>
    </row>
    <row r="44" spans="1:4" ht="22.05" customHeight="1" x14ac:dyDescent="0.3">
      <c r="B44" s="155">
        <f t="shared" si="1"/>
        <v>39</v>
      </c>
      <c r="C44" s="158" t="s">
        <v>644</v>
      </c>
      <c r="D44" s="115" t="s">
        <v>1191</v>
      </c>
    </row>
    <row r="45" spans="1:4" ht="22.05" customHeight="1" x14ac:dyDescent="0.3">
      <c r="B45" s="156">
        <f t="shared" si="1"/>
        <v>40</v>
      </c>
      <c r="C45" s="159" t="s">
        <v>662</v>
      </c>
      <c r="D45" s="115" t="s">
        <v>1191</v>
      </c>
    </row>
    <row r="46" spans="1:4" ht="22.05" customHeight="1" x14ac:dyDescent="0.3">
      <c r="B46" s="155">
        <f t="shared" si="1"/>
        <v>41</v>
      </c>
      <c r="C46" s="158" t="s">
        <v>1099</v>
      </c>
      <c r="D46" s="115" t="s">
        <v>1191</v>
      </c>
    </row>
    <row r="47" spans="1:4" ht="22.05" customHeight="1" x14ac:dyDescent="0.3">
      <c r="B47" s="156">
        <f t="shared" si="1"/>
        <v>42</v>
      </c>
      <c r="C47" s="159" t="s">
        <v>1106</v>
      </c>
      <c r="D47" s="115" t="s">
        <v>1191</v>
      </c>
    </row>
    <row r="48" spans="1:4" ht="22.05" customHeight="1" x14ac:dyDescent="0.3">
      <c r="B48" s="155">
        <f t="shared" si="1"/>
        <v>43</v>
      </c>
      <c r="C48" s="158" t="s">
        <v>670</v>
      </c>
      <c r="D48" s="115" t="s">
        <v>1191</v>
      </c>
    </row>
    <row r="49" spans="1:4" ht="22.05" customHeight="1" x14ac:dyDescent="0.3">
      <c r="B49" s="156">
        <f t="shared" si="1"/>
        <v>44</v>
      </c>
      <c r="C49" s="159" t="s">
        <v>687</v>
      </c>
      <c r="D49" s="115" t="s">
        <v>1191</v>
      </c>
    </row>
    <row r="50" spans="1:4" ht="22.05" customHeight="1" x14ac:dyDescent="0.3">
      <c r="B50" s="155">
        <f t="shared" si="1"/>
        <v>45</v>
      </c>
      <c r="C50" s="158" t="s">
        <v>1259</v>
      </c>
      <c r="D50" s="115" t="s">
        <v>1191</v>
      </c>
    </row>
    <row r="51" spans="1:4" ht="22.05" customHeight="1" x14ac:dyDescent="0.3">
      <c r="B51" s="156">
        <f t="shared" si="1"/>
        <v>46</v>
      </c>
      <c r="C51" s="159" t="s">
        <v>740</v>
      </c>
      <c r="D51" s="115" t="s">
        <v>1191</v>
      </c>
    </row>
    <row r="52" spans="1:4" ht="22.05" customHeight="1" x14ac:dyDescent="0.3">
      <c r="B52" s="155">
        <f t="shared" si="1"/>
        <v>47</v>
      </c>
      <c r="C52" s="158" t="s">
        <v>752</v>
      </c>
      <c r="D52" s="115" t="s">
        <v>1191</v>
      </c>
    </row>
    <row r="53" spans="1:4" s="154" customFormat="1" ht="22.05" customHeight="1" x14ac:dyDescent="0.3">
      <c r="A53"/>
      <c r="B53" s="156">
        <f>ROW()-5</f>
        <v>48</v>
      </c>
      <c r="C53" s="159" t="s">
        <v>1643</v>
      </c>
      <c r="D53" s="115" t="s">
        <v>1191</v>
      </c>
    </row>
    <row r="54" spans="1:4" ht="22.05" customHeight="1" x14ac:dyDescent="0.3">
      <c r="B54" s="155">
        <f t="shared" si="1"/>
        <v>49</v>
      </c>
      <c r="C54" s="158" t="s">
        <v>764</v>
      </c>
      <c r="D54" s="115" t="s">
        <v>1191</v>
      </c>
    </row>
    <row r="55" spans="1:4" ht="22.05" customHeight="1" x14ac:dyDescent="0.3">
      <c r="B55" s="156">
        <f t="shared" si="1"/>
        <v>50</v>
      </c>
      <c r="C55" s="159" t="s">
        <v>798</v>
      </c>
      <c r="D55" s="115" t="s">
        <v>1191</v>
      </c>
    </row>
    <row r="56" spans="1:4" ht="22.05" customHeight="1" x14ac:dyDescent="0.3">
      <c r="B56" s="155">
        <f t="shared" si="1"/>
        <v>51</v>
      </c>
      <c r="C56" s="158" t="s">
        <v>806</v>
      </c>
      <c r="D56" s="115" t="s">
        <v>1191</v>
      </c>
    </row>
    <row r="57" spans="1:4" s="52" customFormat="1" ht="22.05" customHeight="1" x14ac:dyDescent="0.3">
      <c r="B57" s="156">
        <f t="shared" si="1"/>
        <v>52</v>
      </c>
      <c r="C57" s="159" t="s">
        <v>819</v>
      </c>
      <c r="D57" s="115" t="s">
        <v>1191</v>
      </c>
    </row>
    <row r="58" spans="1:4" s="52" customFormat="1" ht="22.05" customHeight="1" x14ac:dyDescent="0.3">
      <c r="B58" s="155">
        <f t="shared" si="1"/>
        <v>53</v>
      </c>
      <c r="C58" s="158" t="s">
        <v>836</v>
      </c>
      <c r="D58" s="115" t="s">
        <v>1191</v>
      </c>
    </row>
    <row r="59" spans="1:4" s="52" customFormat="1" ht="22.05" customHeight="1" x14ac:dyDescent="0.3">
      <c r="B59" s="156">
        <f t="shared" si="1"/>
        <v>54</v>
      </c>
      <c r="C59" s="159" t="s">
        <v>1341</v>
      </c>
      <c r="D59" s="115" t="s">
        <v>1191</v>
      </c>
    </row>
    <row r="60" spans="1:4" s="52" customFormat="1" ht="22.05" customHeight="1" x14ac:dyDescent="0.3">
      <c r="B60" s="155">
        <f t="shared" si="1"/>
        <v>55</v>
      </c>
      <c r="C60" s="158" t="s">
        <v>1335</v>
      </c>
      <c r="D60" s="115" t="s">
        <v>1191</v>
      </c>
    </row>
    <row r="61" spans="1:4" s="52" customFormat="1" ht="22.05" customHeight="1" x14ac:dyDescent="0.3">
      <c r="B61" s="156">
        <f t="shared" si="1"/>
        <v>56</v>
      </c>
      <c r="C61" s="159" t="s">
        <v>1337</v>
      </c>
      <c r="D61" s="115" t="s">
        <v>1191</v>
      </c>
    </row>
    <row r="62" spans="1:4" s="52" customFormat="1" ht="22.05" customHeight="1" x14ac:dyDescent="0.3">
      <c r="B62" s="155">
        <f t="shared" si="1"/>
        <v>57</v>
      </c>
      <c r="C62" s="158" t="s">
        <v>1339</v>
      </c>
      <c r="D62" s="115" t="s">
        <v>1191</v>
      </c>
    </row>
    <row r="63" spans="1:4" s="52" customFormat="1" ht="22.05" customHeight="1" x14ac:dyDescent="0.3">
      <c r="B63" s="156">
        <f t="shared" si="1"/>
        <v>58</v>
      </c>
      <c r="C63" s="159" t="s">
        <v>946</v>
      </c>
      <c r="D63" s="115" t="s">
        <v>1191</v>
      </c>
    </row>
    <row r="64" spans="1:4" s="52" customFormat="1" ht="22.05" customHeight="1" x14ac:dyDescent="0.3">
      <c r="B64" s="155">
        <f t="shared" si="1"/>
        <v>59</v>
      </c>
      <c r="C64" s="158" t="s">
        <v>959</v>
      </c>
      <c r="D64" s="115" t="s">
        <v>1191</v>
      </c>
    </row>
    <row r="65" spans="2:4" s="52" customFormat="1" ht="22.05" customHeight="1" x14ac:dyDescent="0.3">
      <c r="B65" s="156">
        <f t="shared" si="1"/>
        <v>60</v>
      </c>
      <c r="C65" s="159" t="s">
        <v>1315</v>
      </c>
      <c r="D65" s="115" t="s">
        <v>1191</v>
      </c>
    </row>
    <row r="66" spans="2:4" s="52" customFormat="1" ht="22.05" customHeight="1" x14ac:dyDescent="0.3">
      <c r="B66" s="155">
        <f t="shared" si="1"/>
        <v>61</v>
      </c>
      <c r="C66" s="158" t="s">
        <v>1331</v>
      </c>
      <c r="D66" s="115" t="s">
        <v>1191</v>
      </c>
    </row>
    <row r="67" spans="2:4" s="52" customFormat="1" ht="22.05" customHeight="1" x14ac:dyDescent="0.3">
      <c r="B67" s="156">
        <f t="shared" si="1"/>
        <v>62</v>
      </c>
      <c r="C67" s="159" t="s">
        <v>1333</v>
      </c>
      <c r="D67" s="115" t="s">
        <v>1191</v>
      </c>
    </row>
    <row r="68" spans="2:4" s="52" customFormat="1" ht="22.05" customHeight="1" x14ac:dyDescent="0.3">
      <c r="B68" s="155">
        <f t="shared" si="1"/>
        <v>63</v>
      </c>
      <c r="C68" s="158" t="s">
        <v>1329</v>
      </c>
      <c r="D68" s="115" t="s">
        <v>1191</v>
      </c>
    </row>
    <row r="69" spans="2:4" s="52" customFormat="1" ht="22.05" customHeight="1" x14ac:dyDescent="0.3">
      <c r="B69" s="156">
        <f t="shared" si="1"/>
        <v>64</v>
      </c>
      <c r="C69" s="159" t="s">
        <v>1111</v>
      </c>
      <c r="D69" s="115" t="s">
        <v>1191</v>
      </c>
    </row>
    <row r="70" spans="2:4" ht="22.05" customHeight="1" x14ac:dyDescent="0.3">
      <c r="B70" s="157">
        <f t="shared" si="1"/>
        <v>65</v>
      </c>
      <c r="C70" s="158" t="s">
        <v>1120</v>
      </c>
      <c r="D70" s="115" t="s">
        <v>1191</v>
      </c>
    </row>
    <row r="71" spans="2:4" ht="22.05" customHeight="1" x14ac:dyDescent="0.3"/>
    <row r="74" spans="2:4" ht="16.05" customHeight="1" x14ac:dyDescent="0.3">
      <c r="B74" s="140" t="str">
        <f>TEXT(COUNTA(C6:C70)-COUNTIF(C6:C70,"🔲*"),"0")&amp;" catégories renseignées  •  "&amp;TEXT(COUNTIF(C6:C70,"🔲*"),"0")&amp;" à compléter"</f>
        <v>65 catégories renseignées  •  0 à compléter</v>
      </c>
      <c r="C74" s="137"/>
      <c r="D74" s="137"/>
    </row>
  </sheetData>
  <mergeCells count="3">
    <mergeCell ref="B3:D3"/>
    <mergeCell ref="B2:D2"/>
    <mergeCell ref="B74:D74"/>
  </mergeCells>
  <hyperlinks>
    <hyperlink ref="C6" location="'Présentations métiers'!B921" tooltip="Aller à Agroalimentaire - Marketing, commercial &amp; développement" display="Agroalimentaire - Marketing, commercial &amp; développement" xr:uid="{00000000-0004-0000-0000-000000000000}"/>
    <hyperlink ref="D6" location="'Présentations métiers'!B921" tooltip="Aller à Agroalimentaire - Marketing, commercial &amp; développement" display="→ Voir les métiers" xr:uid="{00000000-0004-0000-0000-000001000000}"/>
    <hyperlink ref="C7" location="'Présentations métiers'!B884" tooltip="Aller à Agroalimentaire - Production &amp; exploitation" display="Agroalimentaire - Production &amp; exploitation" xr:uid="{00000000-0004-0000-0000-000002000000}"/>
    <hyperlink ref="D7" location="'Présentations métiers'!B884" tooltip="Aller à Agroalimentaire - Production &amp; exploitation" display="→ Voir les métiers" xr:uid="{00000000-0004-0000-0000-000003000000}"/>
    <hyperlink ref="C8" location="'Présentations métiers'!B908" tooltip="Aller à Agroalimentaire - Qualité, sécurité &amp; innovation industrielle" display="Agroalimentaire - Qualité, sécurité &amp; innovation industrielle" xr:uid="{00000000-0004-0000-0000-000004000000}"/>
    <hyperlink ref="D8" location="'Présentations métiers'!B908" tooltip="Aller à Agroalimentaire - Qualité, sécurité &amp; innovation industrielle" display="→ Voir les métiers" xr:uid="{00000000-0004-0000-0000-000005000000}"/>
    <hyperlink ref="C9" location="'Présentations métiers'!B895" tooltip="Aller à Agroalimentaire - Recherche &amp; développement produit" display="Agroalimentaire - Recherche &amp; développement produit" xr:uid="{00000000-0004-0000-0000-000006000000}"/>
    <hyperlink ref="D9" location="'Présentations métiers'!B895" tooltip="Aller à Agroalimentaire - Recherche &amp; développement produit" display="→ Voir les métiers" xr:uid="{00000000-0004-0000-0000-000007000000}"/>
    <hyperlink ref="C10" location="'Présentations métiers'!B824" tooltip="Aller à Agronomie - Certification variétale &amp; semences" display="Agronomie - Certification variétale &amp; semences" xr:uid="{00000000-0004-0000-0000-000008000000}"/>
    <hyperlink ref="D10" location="'Présentations métiers'!B824" tooltip="Aller à Agronomie - Certification variétale &amp; semences" display="→ Voir les métiers" xr:uid="{00000000-0004-0000-0000-000009000000}"/>
    <hyperlink ref="C11" location="'Présentations métiers'!B778" tooltip="Aller à Agronomie - Production, conseil &amp; exploitation" display="Agronomie - Production, conseil &amp; exploitation" xr:uid="{00000000-0004-0000-0000-00000A000000}"/>
    <hyperlink ref="D11" location="'Présentations métiers'!B778" tooltip="Aller à Agronomie - Production, conseil &amp; exploitation" display="→ Voir les métiers" xr:uid="{00000000-0004-0000-0000-00000B000000}"/>
    <hyperlink ref="C12" location="'Présentations métiers'!B809" tooltip="Aller à Agronomie - Recherche &amp; laboratoire végétal" display="Agronomie - Recherche &amp; laboratoire végétal" xr:uid="{00000000-0004-0000-0000-00000C000000}"/>
    <hyperlink ref="D12" location="'Présentations métiers'!B809" tooltip="Aller à Agronomie - Recherche &amp; laboratoire végétal" display="→ Voir les métiers" xr:uid="{00000000-0004-0000-0000-00000D000000}"/>
    <hyperlink ref="C13" location="'Présentations métiers'!B799" tooltip="Aller à Agronomie - Viticulture" display="Agronomie - Viticulture" xr:uid="{00000000-0004-0000-0000-00000E000000}"/>
    <hyperlink ref="D13" location="'Présentations métiers'!B799" tooltip="Aller à Agronomie - Viticulture" display="→ Voir les métiers" xr:uid="{00000000-0004-0000-0000-00000F000000}"/>
    <hyperlink ref="C14" location="'Présentations métiers'!B536" tooltip="Aller à Apiculture &amp; Entomologie appliquée" display="Apiculture &amp; Entomologie appliquée" xr:uid="{00000000-0004-0000-0000-000010000000}"/>
    <hyperlink ref="D14" location="'Présentations métiers'!B536" tooltip="Aller à Apiculture &amp; Entomologie appliquée" display="→ Voir les métiers" xr:uid="{00000000-0004-0000-0000-000011000000}"/>
    <hyperlink ref="C15" location="'Présentations métiers'!B5" tooltip="Aller à Biochimie" display="Biochimie" xr:uid="{00000000-0004-0000-0000-000012000000}"/>
    <hyperlink ref="D15" location="'Présentations métiers'!B5" tooltip="Aller à Biochimie" display="→ Voir les métiers" xr:uid="{00000000-0004-0000-0000-000013000000}"/>
    <hyperlink ref="C16" location="'Présentations métiers'!B23" tooltip="Aller à Biodiversité" display="Biodiversité" xr:uid="{00000000-0004-0000-0000-000014000000}"/>
    <hyperlink ref="D16" location="'Présentations métiers'!B23" tooltip="Aller à Biodiversité" display="→ Voir les métiers" xr:uid="{00000000-0004-0000-0000-000015000000}"/>
    <hyperlink ref="C17" location="'Présentations métiers'!B54" tooltip="Aller à Bioinformatique" display="Bioinformatique" xr:uid="{00000000-0004-0000-0000-000016000000}"/>
    <hyperlink ref="D17" location="'Présentations métiers'!B54" tooltip="Aller à Bioinformatique" display="→ Voir les métiers" xr:uid="{00000000-0004-0000-0000-000017000000}"/>
    <hyperlink ref="C18" location="'Présentations métiers'!B67" tooltip="Aller à Biologie cellulaire" display="Biologie cellulaire" xr:uid="{00000000-0004-0000-0000-000018000000}"/>
    <hyperlink ref="D18" location="'Présentations métiers'!B67" tooltip="Aller à Biologie cellulaire" display="→ Voir les métiers" xr:uid="{00000000-0004-0000-0000-000019000000}"/>
    <hyperlink ref="C19" location="'Présentations métiers'!B93" tooltip="Aller à Biologie moléculaire" display="Biologie moléculaire" xr:uid="{00000000-0004-0000-0000-00001A000000}"/>
    <hyperlink ref="D19" location="'Présentations métiers'!B93" tooltip="Aller à Biologie moléculaire" display="→ Voir les métiers" xr:uid="{00000000-0004-0000-0000-00001B000000}"/>
    <hyperlink ref="D20" location="'Présentations métiers'!B108" tooltip="Aller à Biologie végétale" display="→ Voir les métiers" xr:uid="{00000000-0004-0000-0000-00001C000000}"/>
    <hyperlink ref="C21" location="'Présentations métiers'!B547" tooltip="Aller à Biomatériaux &amp; Implants" display="Biomatériaux &amp; Implants" xr:uid="{00000000-0004-0000-0000-00001D000000}"/>
    <hyperlink ref="D21" location="'Présentations métiers'!B547" tooltip="Aller à Biomatériaux &amp; Implants" display="→ Voir les métiers" xr:uid="{00000000-0004-0000-0000-00001E000000}"/>
    <hyperlink ref="D22" location="'Présentations métiers'!B118" tooltip="Aller à Biotechnologies" display="→ Voir les métiers" xr:uid="{00000000-0004-0000-0000-00001F000000}"/>
    <hyperlink ref="C23" location="'Présentations métiers'!B149" tooltip="Aller à Commerce et marketing" display="Commerce et marketing" xr:uid="{00000000-0004-0000-0000-000020000000}"/>
    <hyperlink ref="D23" location="'Présentations métiers'!B149" tooltip="Aller à Commerce et marketing" display="→ Voir les métiers" xr:uid="{00000000-0004-0000-0000-000021000000}"/>
    <hyperlink ref="C24" location="'Présentations métiers'!B157" tooltip="Aller à Cosmétique &amp; Dermatologie" display="Cosmétique &amp; Dermatologie" xr:uid="{00000000-0004-0000-0000-000022000000}"/>
    <hyperlink ref="D24" location="'Présentations métiers'!B157" tooltip="Aller à Cosmétique &amp; Dermatologie" display="→ Voir les métiers" xr:uid="{00000000-0004-0000-0000-000023000000}"/>
    <hyperlink ref="C25" location="'Présentations métiers'!B193" tooltip="Aller à Data science" display="Data science" xr:uid="{00000000-0004-0000-0000-000024000000}"/>
    <hyperlink ref="D25" location="'Présentations métiers'!B193" tooltip="Aller à Data science" display="→ Voir les métiers" xr:uid="{00000000-0004-0000-0000-000025000000}"/>
    <hyperlink ref="C26" location="'Présentations métiers'!B658" tooltip="Aller à Déchets &amp; économie circulaire" display="Déchets &amp; économie circulaire" xr:uid="{00000000-0004-0000-0000-000026000000}"/>
    <hyperlink ref="D26" location="'Présentations métiers'!B658" tooltip="Aller à Déchets &amp; économie circulaire" display="→ Voir les métiers" xr:uid="{00000000-0004-0000-0000-000027000000}"/>
    <hyperlink ref="C27" location="'Présentations métiers'!B213" tooltip="Aller à Droit" display="Droit" xr:uid="{00000000-0004-0000-0000-000028000000}"/>
    <hyperlink ref="D27" location="'Présentations métiers'!B213" tooltip="Aller à Droit" display="→ Voir les métiers" xr:uid="{00000000-0004-0000-0000-000029000000}"/>
    <hyperlink ref="C28" location="'Présentations métiers'!B639" tooltip="Aller à Énergie et transition écologique" display="Énergie et transition écologique" xr:uid="{00000000-0004-0000-0000-00002A000000}"/>
    <hyperlink ref="D28" location="'Présentations métiers'!B639" tooltip="Aller à Énergie et transition écologique" display="→ Voir les métiers" xr:uid="{00000000-0004-0000-0000-00002B000000}"/>
    <hyperlink ref="C29" location="'Présentations métiers'!B564" tooltip="Aller à Enseignement &amp; Recherche en SVT" display="Enseignement &amp; Recherche en SVT" xr:uid="{00000000-0004-0000-0000-00002C000000}"/>
    <hyperlink ref="D29" location="'Présentations métiers'!B564" tooltip="Aller à Enseignement &amp; Recherche en SVT" display="→ Voir les métiers" xr:uid="{00000000-0004-0000-0000-00002D000000}"/>
    <hyperlink ref="C30" location="'Présentations métiers'!B227" tooltip="Aller à Épidémiologie &amp; santé publique" display="Épidémiologie &amp; santé publique" xr:uid="{00000000-0004-0000-0000-00002E000000}"/>
    <hyperlink ref="D30" location="'Présentations métiers'!B227" tooltip="Aller à Épidémiologie &amp; santé publique" display="→ Voir les métiers" xr:uid="{00000000-0004-0000-0000-00002F000000}"/>
    <hyperlink ref="C31" location="'Présentations métiers'!B240" tooltip="Aller à Ethologie et comportement animal" display="Ethologie et comportement animal" xr:uid="{00000000-0004-0000-0000-000030000000}"/>
    <hyperlink ref="D31" location="'Présentations métiers'!B240" tooltip="Aller à Ethologie et comportement animal" display="→ Voir les métiers" xr:uid="{00000000-0004-0000-0000-000031000000}"/>
    <hyperlink ref="C32" location="'Présentations métiers'!B258" tooltip="Aller à Finance" display="Finance" xr:uid="{00000000-0004-0000-0000-000032000000}"/>
    <hyperlink ref="D32" location="'Présentations métiers'!B258" tooltip="Aller à Finance" display="→ Voir les métiers" xr:uid="{00000000-0004-0000-0000-000033000000}"/>
    <hyperlink ref="D33" location="'Présentations métiers'!B855" tooltip="Aller à Forêts - Exploitation &amp; sylviculture" display="→ Voir les métiers" xr:uid="{00000000-0004-0000-0000-000034000000}"/>
    <hyperlink ref="C34" location="'Présentations métiers'!B838" tooltip="Aller à Forêts - Gestion &amp; aménagement forestier" display="Forêts - Gestion &amp; aménagement forestier" xr:uid="{00000000-0004-0000-0000-000035000000}"/>
    <hyperlink ref="D34" location="'Présentations métiers'!B838" tooltip="Aller à Forêts - Gestion &amp; aménagement forestier" display="→ Voir les métiers" xr:uid="{00000000-0004-0000-0000-000036000000}"/>
    <hyperlink ref="C35" location="'Présentations métiers'!B867" tooltip="Aller à Forêts - Transformation &amp; industrie du bois" display="Forêts - Transformation &amp; industrie du bois" xr:uid="{00000000-0004-0000-0000-000037000000}"/>
    <hyperlink ref="D35" location="'Présentations métiers'!B867" tooltip="Aller à Forêts - Transformation &amp; industrie du bois" display="→ Voir les métiers" xr:uid="{00000000-0004-0000-0000-000038000000}"/>
    <hyperlink ref="C36" location="'Présentations métiers'!B269" tooltip="Aller à Génétique" display="Génétique" xr:uid="{00000000-0004-0000-0000-000039000000}"/>
    <hyperlink ref="D36" location="'Présentations métiers'!B269" tooltip="Aller à Génétique" display="→ Voir les métiers" xr:uid="{00000000-0004-0000-0000-00003A000000}"/>
    <hyperlink ref="C37" location="'Présentations métiers'!B574" tooltip="Aller à Génie écologique &amp; Restauration" display="Génie écologique &amp; Restauration" xr:uid="{00000000-0004-0000-0000-00003B000000}"/>
    <hyperlink ref="D37" location="'Présentations métiers'!B574" tooltip="Aller à Génie écologique &amp; Restauration" display="→ Voir les métiers" xr:uid="{00000000-0004-0000-0000-00003C000000}"/>
    <hyperlink ref="C38" location="'Présentations métiers'!B290" tooltip="Aller à Géosciences" display="Géosciences" xr:uid="{00000000-0004-0000-0000-00003D000000}"/>
    <hyperlink ref="D38" location="'Présentations métiers'!B290" tooltip="Aller à Géosciences" display="→ Voir les métiers" xr:uid="{00000000-0004-0000-0000-00003E000000}"/>
    <hyperlink ref="C39" location="'Présentations métiers'!B315" tooltip="Aller à Géotechnique" display="Géotechnique" xr:uid="{00000000-0004-0000-0000-00003F000000}"/>
    <hyperlink ref="D39" location="'Présentations métiers'!B315" tooltip="Aller à Géotechnique" display="→ Voir les métiers" xr:uid="{00000000-0004-0000-0000-000040000000}"/>
    <hyperlink ref="C40" location="'Présentations métiers'!B652" tooltip="Aller à Gestion de l'eau" display="Gestion de l'eau" xr:uid="{00000000-0004-0000-0000-000041000000}"/>
    <hyperlink ref="D40" location="'Présentations métiers'!B652" tooltip="Aller à Gestion de l'eau" display="→ Voir les métiers" xr:uid="{00000000-0004-0000-0000-000042000000}"/>
    <hyperlink ref="C41" location="'Présentations métiers'!B337" tooltip="Aller à Hydrogéologie" display="Hydrogéologie" xr:uid="{00000000-0004-0000-0000-000043000000}"/>
    <hyperlink ref="D41" location="'Présentations métiers'!B337" tooltip="Aller à Hydrogéologie" display="→ Voir les métiers" xr:uid="{00000000-0004-0000-0000-000044000000}"/>
    <hyperlink ref="C42" location="'Présentations métiers'!B589" tooltip="Aller à Jardins &amp; Espaces verts" display="Jardins &amp; Espaces verts" xr:uid="{00000000-0004-0000-0000-000045000000}"/>
    <hyperlink ref="D42" location="'Présentations métiers'!B589" tooltip="Aller à Jardins &amp; Espaces verts" display="→ Voir les métiers" xr:uid="{00000000-0004-0000-0000-000046000000}"/>
    <hyperlink ref="C44" location="'Présentations métiers'!B350" tooltip="Aller à Météorologie" display="Météorologie" xr:uid="{00000000-0004-0000-0000-000047000000}"/>
    <hyperlink ref="D44" location="'Présentations métiers'!B350" tooltip="Aller à Météorologie" display="→ Voir les métiers" xr:uid="{00000000-0004-0000-0000-000048000000}"/>
    <hyperlink ref="C45" location="'Présentations métiers'!B364" tooltip="Aller à Missions scientifiques" display="Missions scientifiques" xr:uid="{00000000-0004-0000-0000-000049000000}"/>
    <hyperlink ref="D45" location="'Présentations métiers'!B364" tooltip="Aller à Missions scientifiques" display="→ Voir les métiers" xr:uid="{00000000-0004-0000-0000-00004A000000}"/>
    <hyperlink ref="C46" location="'Présentations métiers'!B607" tooltip="Aller à Muséographie &amp; Muséologie scientifique" display="Muséographie &amp; Muséologie scientifique" xr:uid="{00000000-0004-0000-0000-00004B000000}"/>
    <hyperlink ref="D46" location="'Présentations métiers'!B607" tooltip="Aller à Muséographie &amp; Muséologie scientifique" display="→ Voir les métiers" xr:uid="{00000000-0004-0000-0000-00004C000000}"/>
    <hyperlink ref="C47" location="'Présentations métiers'!B612" tooltip="Aller à Mycologie &amp; Champignons" display="Mycologie &amp; Champignons" xr:uid="{00000000-0004-0000-0000-00004D000000}"/>
    <hyperlink ref="D47" location="'Présentations métiers'!B612" tooltip="Aller à Mycologie &amp; Champignons" display="→ Voir les métiers" xr:uid="{00000000-0004-0000-0000-00004E000000}"/>
    <hyperlink ref="C48" location="'Présentations métiers'!B373" tooltip="Aller à Neurosciences" display="Neurosciences" xr:uid="{00000000-0004-0000-0000-00004F000000}"/>
    <hyperlink ref="D48" location="'Présentations métiers'!B373" tooltip="Aller à Neurosciences" display="→ Voir les métiers" xr:uid="{00000000-0004-0000-0000-000050000000}"/>
    <hyperlink ref="C49" location="'Présentations métiers'!B393" tooltip="Aller à Océanographie" display="Océanographie" xr:uid="{00000000-0004-0000-0000-000051000000}"/>
    <hyperlink ref="D49" location="'Présentations métiers'!B393" tooltip="Aller à Océanographie" display="→ Voir les métiers" xr:uid="{00000000-0004-0000-0000-000052000000}"/>
    <hyperlink ref="C50" location="'Présentations métiers'!B665" tooltip="Aller à Œnologie" display="Œnologie" xr:uid="{00000000-0004-0000-0000-000053000000}"/>
    <hyperlink ref="D50" location="'Présentations métiers'!B665" tooltip="Aller à Œnologie" display="→ Voir les métiers" xr:uid="{00000000-0004-0000-0000-000054000000}"/>
    <hyperlink ref="C51" location="'Présentations métiers'!B427" tooltip="Aller à Optique &amp; Vision" display="Optique &amp; Vision" xr:uid="{00000000-0004-0000-0000-000055000000}"/>
    <hyperlink ref="D51" location="'Présentations métiers'!B427" tooltip="Aller à Optique &amp; Vision" display="→ Voir les métiers" xr:uid="{00000000-0004-0000-0000-000056000000}"/>
    <hyperlink ref="C52" location="'Présentations métiers'!B434" tooltip="Aller à Paléontologie" display="Paléontologie" xr:uid="{00000000-0004-0000-0000-000057000000}"/>
    <hyperlink ref="D52" location="'Présentations métiers'!B434" tooltip="Aller à Paléontologie" display="→ Voir les métiers" xr:uid="{00000000-0004-0000-0000-000058000000}"/>
    <hyperlink ref="C54" location="'Présentations métiers'!B442" tooltip="Aller à Pharmacie" display="Pharmacie" xr:uid="{00000000-0004-0000-0000-000059000000}"/>
    <hyperlink ref="D54" location="'Présentations métiers'!B442" tooltip="Aller à Pharmacie" display="→ Voir les métiers" xr:uid="{00000000-0004-0000-0000-00005A000000}"/>
    <hyperlink ref="C55" location="'Présentations métiers'!B466" tooltip="Aller à Physiologie humaine" display="Physiologie humaine" xr:uid="{00000000-0004-0000-0000-00005B000000}"/>
    <hyperlink ref="D55" location="'Présentations métiers'!B466" tooltip="Aller à Physiologie humaine" display="→ Voir les métiers" xr:uid="{00000000-0004-0000-0000-00005C000000}"/>
    <hyperlink ref="C56" location="'Présentations métiers'!B475" tooltip="Aller à Police scientifique" display="Police scientifique" xr:uid="{00000000-0004-0000-0000-00005D000000}"/>
    <hyperlink ref="D56" location="'Présentations métiers'!B475" tooltip="Aller à Police scientifique" display="→ Voir les métiers" xr:uid="{00000000-0004-0000-0000-00005E000000}"/>
    <hyperlink ref="C70" location="'Présentations métiers'!B627" tooltip="Aller à Vétérinaire &amp; Santé animale" display="Vétérinaire &amp; Santé animale" xr:uid="{00000000-0004-0000-0000-00005F000000}"/>
    <hyperlink ref="D70" location="'Présentations métiers'!B627" tooltip="Aller à Vétérinaire &amp; Santé animale" display="→ Voir les métiers" xr:uid="{00000000-0004-0000-0000-000060000000}"/>
    <hyperlink ref="C43" location="'Présentations métiers'!B596" tooltip="Aller à Journalisme &amp; Médiation scientifique" display="Journalisme &amp; Médiation scientifique" xr:uid="{6DC4C8AA-F6AE-44CD-A450-F35CE0E854EC}"/>
    <hyperlink ref="D43" location="'Présentations métiers'!B596" tooltip="Aller à Journalisme &amp; Médiation scientifique" display="→ Voir les métiers" xr:uid="{5330A9CE-BA51-4A30-A604-4FD61F8A5333}"/>
    <hyperlink ref="C20" location="'Présentations métiers'!B108" tooltip="Aller à Biologie végétale" display="Biologie végétale" xr:uid="{F70AE897-AF48-4CEB-AF2A-57D0FC6C3BFB}"/>
    <hyperlink ref="C22" location="'Présentations métiers'!B118" tooltip="Aller à Biotechnologies" display="Biotechnologies" xr:uid="{94B321E6-CF1E-4FD8-8934-A8DAB94D9CFB}"/>
    <hyperlink ref="C33" location="'Présentations métiers'!B855" tooltip="Aller à Forêts - Exploitation &amp; sylviculture" display="Forêts - Exploitation &amp; sylviculture" xr:uid="{0C18C264-4569-4BA3-9DA3-8E7830DC10FE}"/>
    <hyperlink ref="C57" location="'Présentations métiers'!B487" tooltip="Aller à Psychologie/Psychiatrie et travail social" display="Psychologie/Psychiatrie et travail social" xr:uid="{ABB395BC-0775-4988-ABD8-C1675ADC6BC9}"/>
    <hyperlink ref="D57" location="'Présentations métiers'!B487" tooltip="Aller à Psychologie/Psychiatrie et travail social" display="→ Voir les métiers" xr:uid="{445AEEDD-69B9-4B57-B46C-86539DA88196}"/>
    <hyperlink ref="C58" location="'Présentations métiers'!B499" tooltip="Aller à Responsabilité sociétale des entreprises" display="Responsabilité sociétale des entreprises" xr:uid="{0AC2A7CF-FD47-497F-8C0B-0C5CBCE0C429}"/>
    <hyperlink ref="D58" location="'Présentations métiers'!B499" tooltip="Aller à Responsabilité sociétale des entreprises" display="→ Voir les métiers" xr:uid="{DC8DF352-C5AA-4EE7-BA88-E3A9B3C88A42}"/>
    <hyperlink ref="C59" location="'Présentations métiers'!B771" tooltip="Aller à Santé - Biologie médicale" display="Santé - Biologie médicale" xr:uid="{94411289-4B9C-4BDC-8BB9-BC6907D3666A}"/>
    <hyperlink ref="D59" location="'Présentations métiers'!B771" tooltip="Aller à Santé - Biologie médicale" display="→ Voir les métiers" xr:uid="{BA595C5D-BF87-4269-9C68-B07C4CC9821F}"/>
    <hyperlink ref="C60" location="'Présentations métiers'!B715" tooltip="Aller à Santé - Médecine &amp; spécialités" display="Santé - Médecine &amp; spécialités" xr:uid="{D32EF8CD-8116-4A3F-9A8A-ECDCEFAE6677}"/>
    <hyperlink ref="D60" location="'Présentations métiers'!B715" tooltip="Aller à Santé - Médecine &amp; spécialités" display="→ Voir les métiers" xr:uid="{4E7FF69F-2FF4-4D9E-81CE-3EC8C0EDA0DF}"/>
    <hyperlink ref="C69" location="'Présentations métiers'!B617" tooltip="Aller à Toxicologie &amp; Sécurité chimique" display="Toxicologie &amp; Sécurité chimique" xr:uid="{CF20FA19-9578-4AF8-B320-F069982CED32}"/>
    <hyperlink ref="D69" location="'Présentations métiers'!B617" tooltip="Aller à Toxicologie &amp; Sécurité chimique" display="→ Voir les métiers" xr:uid="{D83E8A3D-6F82-4C81-AC36-68C3567B2C1B}"/>
    <hyperlink ref="C66" location="'Présentations métiers'!B688" tooltip="Aller à Sport - Encadrement &amp; enseignement" display="Sport - Encadrement &amp; enseignement" xr:uid="{793A21BF-2E8B-40B3-99B0-25238FD59C09}"/>
    <hyperlink ref="D66" location="'Présentations métiers'!B688" tooltip="Aller à Sport - Encadrement &amp; enseignement" display="→ Voir les métiers" xr:uid="{8A0DD321-1131-4480-9EF6-838F58F2078F}"/>
    <hyperlink ref="C67" location="'Présentations métiers'!B706" tooltip="Aller à Sport - Gestion &amp; développement sportif" display="Sport - Gestion &amp; développement sportif" xr:uid="{0D753758-AD24-4CFB-A058-6A620D4675A7}"/>
    <hyperlink ref="D67" location="'Présentations métiers'!B706" tooltip="Aller à Sport - Gestion &amp; développement sportif" display="→ Voir les métiers" xr:uid="{07349AFD-59C5-4E59-A21D-121364177E09}"/>
    <hyperlink ref="C68" location="'Présentations métiers'!B676" tooltip="Aller à Sport - Performance &amp; physiologie" display="Sport - Performance &amp; physiologie" xr:uid="{7D82F20B-0634-42DB-99BB-C18A8BDAC8DD}"/>
    <hyperlink ref="D68" location="'Présentations métiers'!B676" tooltip="Aller à Sport - Performance &amp; physiologie" display="→ Voir les métiers" xr:uid="{B56FCAC2-D355-43E3-9F46-49834560C79D}"/>
    <hyperlink ref="C61" location="'Présentations métiers'!B734" tooltip="Aller à Santé - Paramédical &amp; rééducation" display="Santé - Paramédical &amp; rééducation" xr:uid="{1711AF71-C08D-4A0B-8A5B-9071C411BBA8}"/>
    <hyperlink ref="D61" location="'Présentations métiers'!B734" tooltip="Aller à Santé - Paramédical &amp; rééducation" display="→ Voir les métiers" xr:uid="{8877EB5E-ED34-4773-AFD9-59A1763D63AD}"/>
    <hyperlink ref="C62" location="'Présentations métiers'!B758" tooltip="Aller à Santé - Soin, assistance &amp; appui hospitalier" display="Santé - Soin, assistance &amp; appui hospitalier" xr:uid="{B1DEC035-6ADF-45CB-BA03-3282D4BD40DA}"/>
    <hyperlink ref="D62" location="'Présentations métiers'!B758" tooltip="Aller à Santé - Soin, assistance &amp; appui hospitalier" display="→ Voir les métiers" xr:uid="{F6F82AB1-8ECF-4D8C-85BA-6A750FD2AEBC}"/>
    <hyperlink ref="C63" location="'Présentations métiers'!B513" tooltip="Aller à Santé - Thérapies complémentaires, accompagnement et bien-être" display="Santé - Thérapies complémentaires, accompagnement et bien-être" xr:uid="{EB1EB6CC-B48C-4CA2-B30A-EF25B7B34CFE}"/>
    <hyperlink ref="D63" location="'Présentations métiers'!B513" tooltip="Aller à Santé - Thérapies complémentaires, accompagnement et bien-être" display="→ Voir les métiers" xr:uid="{7A584626-8515-4555-9C6D-86A20170EF12}"/>
    <hyperlink ref="C64" location="'Présentations métiers'!B523" tooltip="Aller à Sciences de l'évolution" display="Sciences de l'évolution" xr:uid="{D8D53AC8-5D60-457E-A85B-CAC08F6E3A04}"/>
    <hyperlink ref="D64" location="'Présentations métiers'!B523" tooltip="Aller à Sciences de l'évolution" display="→ Voir les métiers" xr:uid="{80006F77-47B8-49E8-94D1-3F85FEECD55E}"/>
    <hyperlink ref="C65" location="'Présentations métiers'!B250" tooltip="Aller à Sciences de l'Univers et exobiologie" display="Sciences de l'Univers et exobiologie" xr:uid="{1D715FFA-0FC5-47C9-973C-6ED7064A48E5}"/>
    <hyperlink ref="D65" location="'Présentations métiers'!B250" tooltip="Aller à Sciences de l'Univers et exobiologie" display="→ Voir les métiers" xr:uid="{14849868-F815-427B-8BAF-ED5E13E6E60E}"/>
    <hyperlink ref="C53" location="'Présentations métiers'!B168" tooltip="Aller à Parfums &amp; Arômes" display="Parfums &amp; Arômes" xr:uid="{5F24F1F1-E95A-48FE-B012-A0955CAA948E}"/>
    <hyperlink ref="D53" location="'Présentations métiers'!B168" tooltip="Aller à Parfums &amp; Arômes" display="→ Voir les métiers" xr:uid="{DD6F5554-BDBE-4538-8D0D-1217A2C316A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47"/>
  <sheetViews>
    <sheetView workbookViewId="0">
      <pane xSplit="1" ySplit="4" topLeftCell="B33" activePane="bottomRight" state="frozen"/>
      <selection pane="topRight"/>
      <selection pane="bottomLeft"/>
      <selection pane="bottomRight" activeCell="H28" sqref="H28"/>
    </sheetView>
  </sheetViews>
  <sheetFormatPr baseColWidth="10" defaultColWidth="8.88671875" defaultRowHeight="14.4" x14ac:dyDescent="0.3"/>
  <cols>
    <col min="1" max="1" width="3" customWidth="1"/>
    <col min="2" max="2" width="28" customWidth="1"/>
    <col min="3" max="3" width="55" customWidth="1"/>
    <col min="4" max="4" width="3" customWidth="1"/>
  </cols>
  <sheetData>
    <row r="1" spans="2:3" ht="10.050000000000001" customHeight="1" x14ac:dyDescent="0.3"/>
    <row r="2" spans="2:3" ht="43.95" customHeight="1" x14ac:dyDescent="0.3">
      <c r="B2" s="147" t="s">
        <v>1192</v>
      </c>
      <c r="C2" s="137"/>
    </row>
    <row r="3" spans="2:3" ht="22.05" customHeight="1" x14ac:dyDescent="0.3">
      <c r="B3" s="143" t="s">
        <v>1193</v>
      </c>
      <c r="C3" s="137"/>
    </row>
    <row r="4" spans="2:3" ht="13.95" customHeight="1" x14ac:dyDescent="0.3"/>
    <row r="5" spans="2:3" ht="30" customHeight="1" x14ac:dyDescent="0.3">
      <c r="B5" s="152" t="s">
        <v>1194</v>
      </c>
      <c r="C5" s="137"/>
    </row>
    <row r="6" spans="2:3" ht="52.8" customHeight="1" x14ac:dyDescent="0.3">
      <c r="B6" s="12" t="s">
        <v>1195</v>
      </c>
      <c r="C6" s="13" t="s">
        <v>1196</v>
      </c>
    </row>
    <row r="7" spans="2:3" ht="26.4" customHeight="1" x14ac:dyDescent="0.3">
      <c r="B7" s="12" t="s">
        <v>1197</v>
      </c>
      <c r="C7" s="13" t="s">
        <v>1198</v>
      </c>
    </row>
    <row r="8" spans="2:3" ht="52.8" customHeight="1" x14ac:dyDescent="0.3">
      <c r="B8" s="12" t="s">
        <v>1199</v>
      </c>
      <c r="C8" s="13" t="s">
        <v>1200</v>
      </c>
    </row>
    <row r="9" spans="2:3" ht="10.050000000000001" customHeight="1" x14ac:dyDescent="0.3"/>
    <row r="10" spans="2:3" ht="30" customHeight="1" x14ac:dyDescent="0.3">
      <c r="B10" s="149" t="s">
        <v>1201</v>
      </c>
      <c r="C10" s="137"/>
    </row>
    <row r="11" spans="2:3" ht="52.8" customHeight="1" x14ac:dyDescent="0.3">
      <c r="B11" s="14" t="s">
        <v>1202</v>
      </c>
      <c r="C11" s="15" t="s">
        <v>1203</v>
      </c>
    </row>
    <row r="12" spans="2:3" ht="26.4" customHeight="1" x14ac:dyDescent="0.3">
      <c r="B12" s="14" t="s">
        <v>1204</v>
      </c>
      <c r="C12" s="15" t="s">
        <v>1205</v>
      </c>
    </row>
    <row r="13" spans="2:3" ht="52.8" customHeight="1" x14ac:dyDescent="0.3">
      <c r="B13" s="14" t="s">
        <v>1206</v>
      </c>
      <c r="C13" s="15" t="s">
        <v>1207</v>
      </c>
    </row>
    <row r="14" spans="2:3" ht="10.050000000000001" customHeight="1" x14ac:dyDescent="0.3"/>
    <row r="15" spans="2:3" ht="30" customHeight="1" x14ac:dyDescent="0.3">
      <c r="B15" s="151" t="s">
        <v>1208</v>
      </c>
      <c r="C15" s="137"/>
    </row>
    <row r="16" spans="2:3" x14ac:dyDescent="0.3">
      <c r="B16" s="16" t="s">
        <v>1209</v>
      </c>
      <c r="C16" s="17" t="s">
        <v>1210</v>
      </c>
    </row>
    <row r="17" spans="2:3" ht="39.6" customHeight="1" x14ac:dyDescent="0.3">
      <c r="B17" s="16" t="s">
        <v>1211</v>
      </c>
      <c r="C17" s="17" t="s">
        <v>1212</v>
      </c>
    </row>
    <row r="18" spans="2:3" x14ac:dyDescent="0.3">
      <c r="B18" s="16" t="s">
        <v>1213</v>
      </c>
      <c r="C18" s="17" t="s">
        <v>1214</v>
      </c>
    </row>
    <row r="19" spans="2:3" ht="92.4" customHeight="1" x14ac:dyDescent="0.3">
      <c r="B19" s="16" t="s">
        <v>1215</v>
      </c>
      <c r="C19" s="17" t="s">
        <v>1216</v>
      </c>
    </row>
    <row r="20" spans="2:3" ht="10.050000000000001" customHeight="1" x14ac:dyDescent="0.3"/>
    <row r="21" spans="2:3" ht="30" customHeight="1" x14ac:dyDescent="0.3">
      <c r="B21" s="146" t="s">
        <v>1217</v>
      </c>
      <c r="C21" s="137"/>
    </row>
    <row r="22" spans="2:3" ht="92.4" customHeight="1" x14ac:dyDescent="0.3">
      <c r="B22" s="18" t="s">
        <v>1218</v>
      </c>
      <c r="C22" s="19" t="s">
        <v>1219</v>
      </c>
    </row>
    <row r="23" spans="2:3" ht="52.8" customHeight="1" x14ac:dyDescent="0.3">
      <c r="B23" s="18" t="s">
        <v>1220</v>
      </c>
      <c r="C23" s="19" t="s">
        <v>1221</v>
      </c>
    </row>
    <row r="24" spans="2:3" ht="10.050000000000001" customHeight="1" x14ac:dyDescent="0.3"/>
    <row r="25" spans="2:3" ht="30" customHeight="1" x14ac:dyDescent="0.3">
      <c r="B25" s="142" t="s">
        <v>1222</v>
      </c>
      <c r="C25" s="137"/>
    </row>
    <row r="26" spans="2:3" ht="39.6" customHeight="1" x14ac:dyDescent="0.3">
      <c r="B26" s="20" t="s">
        <v>1223</v>
      </c>
      <c r="C26" s="21" t="s">
        <v>1224</v>
      </c>
    </row>
    <row r="27" spans="2:3" ht="39.6" customHeight="1" x14ac:dyDescent="0.3">
      <c r="B27" s="20" t="s">
        <v>1225</v>
      </c>
      <c r="C27" s="21" t="s">
        <v>1226</v>
      </c>
    </row>
    <row r="28" spans="2:3" ht="52.8" customHeight="1" x14ac:dyDescent="0.3">
      <c r="B28" s="20" t="s">
        <v>1227</v>
      </c>
      <c r="C28" s="21" t="s">
        <v>1228</v>
      </c>
    </row>
    <row r="29" spans="2:3" ht="10.050000000000001" customHeight="1" x14ac:dyDescent="0.3"/>
    <row r="30" spans="2:3" ht="30" customHeight="1" x14ac:dyDescent="0.3">
      <c r="B30" s="150" t="s">
        <v>1229</v>
      </c>
      <c r="C30" s="137"/>
    </row>
    <row r="31" spans="2:3" x14ac:dyDescent="0.3">
      <c r="B31" s="22" t="s">
        <v>1230</v>
      </c>
      <c r="C31" s="23" t="s">
        <v>1231</v>
      </c>
    </row>
    <row r="32" spans="2:3" ht="66" customHeight="1" x14ac:dyDescent="0.3">
      <c r="B32" s="22" t="s">
        <v>1232</v>
      </c>
      <c r="C32" s="23" t="s">
        <v>1233</v>
      </c>
    </row>
    <row r="33" spans="2:3" ht="52.8" customHeight="1" x14ac:dyDescent="0.3">
      <c r="B33" s="22" t="s">
        <v>1234</v>
      </c>
      <c r="C33" s="23" t="s">
        <v>1235</v>
      </c>
    </row>
    <row r="34" spans="2:3" ht="26.4" customHeight="1" x14ac:dyDescent="0.3">
      <c r="B34" s="22" t="s">
        <v>1236</v>
      </c>
      <c r="C34" s="23" t="s">
        <v>1237</v>
      </c>
    </row>
    <row r="35" spans="2:3" ht="10.050000000000001" customHeight="1" x14ac:dyDescent="0.3"/>
    <row r="36" spans="2:3" ht="30" customHeight="1" x14ac:dyDescent="0.3">
      <c r="B36" s="153" t="s">
        <v>1238</v>
      </c>
      <c r="C36" s="137"/>
    </row>
    <row r="37" spans="2:3" ht="36" customHeight="1" x14ac:dyDescent="0.3">
      <c r="B37" s="148" t="s">
        <v>1239</v>
      </c>
      <c r="C37" s="145"/>
    </row>
    <row r="38" spans="2:3" ht="18" customHeight="1" x14ac:dyDescent="0.3">
      <c r="B38" s="144" t="s">
        <v>1240</v>
      </c>
      <c r="C38" s="145"/>
    </row>
    <row r="39" spans="2:3" ht="18" customHeight="1" x14ac:dyDescent="0.3">
      <c r="B39" s="144" t="s">
        <v>1241</v>
      </c>
      <c r="C39" s="145"/>
    </row>
    <row r="40" spans="2:3" ht="18" customHeight="1" x14ac:dyDescent="0.3">
      <c r="B40" s="144" t="s">
        <v>1242</v>
      </c>
      <c r="C40" s="145"/>
    </row>
    <row r="41" spans="2:3" ht="18" customHeight="1" x14ac:dyDescent="0.3">
      <c r="B41" s="144" t="s">
        <v>1243</v>
      </c>
      <c r="C41" s="145"/>
    </row>
    <row r="42" spans="2:3" ht="18" customHeight="1" x14ac:dyDescent="0.3">
      <c r="B42" s="144" t="s">
        <v>1244</v>
      </c>
      <c r="C42" s="145"/>
    </row>
    <row r="43" spans="2:3" ht="18" customHeight="1" x14ac:dyDescent="0.3">
      <c r="B43" s="144" t="s">
        <v>1245</v>
      </c>
      <c r="C43" s="145"/>
    </row>
    <row r="44" spans="2:3" ht="18" customHeight="1" x14ac:dyDescent="0.3">
      <c r="B44" s="144" t="s">
        <v>1246</v>
      </c>
      <c r="C44" s="145"/>
    </row>
    <row r="45" spans="2:3" ht="18" customHeight="1" x14ac:dyDescent="0.3">
      <c r="B45" s="144"/>
      <c r="C45" s="145"/>
    </row>
    <row r="46" spans="2:3" ht="6" customHeight="1" x14ac:dyDescent="0.3"/>
    <row r="47" spans="2:3" ht="16.05" customHeight="1" x14ac:dyDescent="0.3">
      <c r="B47" s="141" t="s">
        <v>1247</v>
      </c>
      <c r="C47" s="137"/>
    </row>
  </sheetData>
  <mergeCells count="19">
    <mergeCell ref="B2:C2"/>
    <mergeCell ref="B42:C42"/>
    <mergeCell ref="B44:C44"/>
    <mergeCell ref="B38:C38"/>
    <mergeCell ref="B37:C37"/>
    <mergeCell ref="B10:C10"/>
    <mergeCell ref="B40:C40"/>
    <mergeCell ref="B30:C30"/>
    <mergeCell ref="B15:C15"/>
    <mergeCell ref="B5:C5"/>
    <mergeCell ref="B36:C36"/>
    <mergeCell ref="B41:C41"/>
    <mergeCell ref="B47:C47"/>
    <mergeCell ref="B25:C25"/>
    <mergeCell ref="B3:C3"/>
    <mergeCell ref="B43:C43"/>
    <mergeCell ref="B39:C39"/>
    <mergeCell ref="B21:C21"/>
    <mergeCell ref="B45:C4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1873"/>
  <sheetViews>
    <sheetView showGridLines="0" tabSelected="1" zoomScale="70" zoomScaleNormal="70" workbookViewId="0">
      <pane xSplit="1" ySplit="4" topLeftCell="B496" activePane="bottomRight" state="frozen"/>
      <selection pane="topRight"/>
      <selection pane="bottomLeft" activeCell="C22" sqref="C22"/>
      <selection pane="bottomRight" activeCell="G506" sqref="G506"/>
    </sheetView>
  </sheetViews>
  <sheetFormatPr baseColWidth="10" defaultColWidth="12.6640625" defaultRowHeight="15" customHeight="1" x14ac:dyDescent="0.3"/>
  <cols>
    <col min="1" max="1" width="3" customWidth="1"/>
    <col min="2" max="2" width="46" customWidth="1"/>
    <col min="3" max="4" width="13" customWidth="1"/>
    <col min="5" max="5" width="40" customWidth="1"/>
    <col min="6" max="6" width="28" customWidth="1"/>
    <col min="7" max="7" width="50" customWidth="1"/>
    <col min="8" max="8" width="34" customWidth="1"/>
    <col min="9" max="10" width="9.109375" customWidth="1"/>
    <col min="11" max="11" width="13" customWidth="1"/>
    <col min="12" max="12" width="18" customWidth="1"/>
    <col min="13" max="24" width="9.109375" customWidth="1"/>
  </cols>
  <sheetData>
    <row r="1" spans="1:24" ht="19.5" customHeight="1" x14ac:dyDescent="0.3">
      <c r="A1" s="1"/>
      <c r="B1" s="25" t="s">
        <v>0</v>
      </c>
      <c r="C1" s="2"/>
      <c r="D1" s="1"/>
      <c r="E1" s="2"/>
      <c r="F1" s="2"/>
      <c r="G1" s="2"/>
      <c r="H1" s="1"/>
      <c r="I1" s="1"/>
      <c r="J1" s="1"/>
      <c r="K1" s="1"/>
      <c r="L1" s="1"/>
      <c r="M1" s="1"/>
      <c r="N1" s="1"/>
      <c r="O1" s="1"/>
      <c r="P1" s="1"/>
      <c r="Q1" s="1"/>
      <c r="R1" s="1"/>
      <c r="S1" s="1"/>
      <c r="T1" s="1"/>
      <c r="U1" s="1"/>
      <c r="V1" s="1"/>
      <c r="W1" s="1"/>
      <c r="X1" s="1"/>
    </row>
    <row r="2" spans="1:24" ht="51.75" customHeight="1" x14ac:dyDescent="0.3">
      <c r="A2" s="3"/>
      <c r="B2" s="136" t="s">
        <v>1</v>
      </c>
      <c r="C2" s="137"/>
      <c r="D2" s="137"/>
      <c r="E2" s="137"/>
      <c r="F2" s="137"/>
      <c r="G2" s="137"/>
      <c r="H2" s="137"/>
      <c r="I2" s="3"/>
      <c r="J2" s="3"/>
      <c r="K2" s="3"/>
      <c r="L2" s="3"/>
      <c r="M2" s="3"/>
      <c r="N2" s="3"/>
      <c r="O2" s="3"/>
      <c r="P2" s="3"/>
      <c r="Q2" s="3"/>
      <c r="R2" s="3"/>
      <c r="S2" s="3"/>
      <c r="T2" s="3"/>
      <c r="U2" s="3"/>
      <c r="V2" s="3"/>
      <c r="W2" s="3"/>
      <c r="X2" s="3"/>
    </row>
    <row r="3" spans="1:24" ht="6" customHeight="1" x14ac:dyDescent="0.3">
      <c r="A3" s="4"/>
      <c r="B3" s="5"/>
      <c r="C3" s="6"/>
      <c r="D3" s="7"/>
      <c r="E3" s="8"/>
      <c r="F3" s="9"/>
      <c r="G3" s="10"/>
      <c r="H3" s="3"/>
      <c r="I3" s="3"/>
      <c r="J3" s="3"/>
      <c r="K3" s="3"/>
      <c r="L3" s="3"/>
      <c r="M3" s="3"/>
      <c r="N3" s="3"/>
      <c r="O3" s="3"/>
      <c r="P3" s="3"/>
      <c r="Q3" s="3"/>
      <c r="R3" s="3"/>
      <c r="S3" s="3"/>
      <c r="T3" s="3"/>
      <c r="U3" s="3"/>
      <c r="V3" s="3"/>
      <c r="W3" s="3"/>
      <c r="X3" s="3"/>
    </row>
    <row r="4" spans="1:24" ht="31.95" customHeight="1" x14ac:dyDescent="0.3">
      <c r="A4" s="11"/>
      <c r="B4" s="26" t="s">
        <v>2</v>
      </c>
      <c r="C4" s="27" t="s">
        <v>3</v>
      </c>
      <c r="D4" s="28" t="s">
        <v>4</v>
      </c>
      <c r="E4" s="29" t="s">
        <v>5</v>
      </c>
      <c r="F4" s="30" t="s">
        <v>6</v>
      </c>
      <c r="G4" s="31" t="s">
        <v>7</v>
      </c>
      <c r="H4" s="26" t="s">
        <v>8</v>
      </c>
      <c r="I4" s="26" t="s">
        <v>9</v>
      </c>
      <c r="J4" s="26" t="s">
        <v>10</v>
      </c>
      <c r="K4" s="86" t="s">
        <v>11</v>
      </c>
      <c r="L4" s="86" t="s">
        <v>12</v>
      </c>
      <c r="M4" s="3"/>
      <c r="N4" s="3"/>
      <c r="O4" s="3"/>
      <c r="P4" s="3"/>
      <c r="Q4" s="11"/>
      <c r="R4" s="11"/>
      <c r="S4" s="11"/>
      <c r="T4" s="11"/>
      <c r="U4" s="11"/>
      <c r="V4" s="11"/>
      <c r="W4" s="11"/>
      <c r="X4" s="11"/>
    </row>
    <row r="5" spans="1:24" ht="25.95" customHeight="1" thickBot="1" x14ac:dyDescent="0.35">
      <c r="B5" s="33" t="s">
        <v>180</v>
      </c>
      <c r="C5" s="32"/>
      <c r="D5" s="32"/>
      <c r="E5" s="34" t="s">
        <v>13</v>
      </c>
      <c r="F5" s="35"/>
      <c r="G5" s="32"/>
      <c r="H5" s="43" t="s">
        <v>181</v>
      </c>
      <c r="I5" s="43" t="s">
        <v>15</v>
      </c>
      <c r="J5" s="43"/>
    </row>
    <row r="6" spans="1:24" ht="22.05" customHeight="1" x14ac:dyDescent="0.3">
      <c r="B6" s="36" t="s">
        <v>182</v>
      </c>
      <c r="C6" s="37" t="s">
        <v>17</v>
      </c>
      <c r="D6" s="38"/>
      <c r="E6" s="39" t="s">
        <v>13</v>
      </c>
      <c r="F6" s="40"/>
      <c r="G6" s="41" t="s">
        <v>183</v>
      </c>
      <c r="H6" s="44"/>
      <c r="I6" s="44" t="s">
        <v>15</v>
      </c>
      <c r="J6" s="44"/>
      <c r="K6" t="s">
        <v>19</v>
      </c>
    </row>
    <row r="7" spans="1:24" ht="22.05" customHeight="1" x14ac:dyDescent="0.3">
      <c r="B7" s="36" t="s">
        <v>184</v>
      </c>
      <c r="C7" s="37" t="s">
        <v>17</v>
      </c>
      <c r="D7" s="38"/>
      <c r="E7" s="39" t="s">
        <v>13</v>
      </c>
      <c r="F7" s="40"/>
      <c r="G7" s="41" t="s">
        <v>185</v>
      </c>
      <c r="H7" s="44"/>
      <c r="I7" s="44" t="s">
        <v>15</v>
      </c>
      <c r="J7" s="44"/>
      <c r="K7" t="s">
        <v>19</v>
      </c>
    </row>
    <row r="8" spans="1:24" ht="22.05" customHeight="1" x14ac:dyDescent="0.3">
      <c r="B8" s="36" t="s">
        <v>186</v>
      </c>
      <c r="C8" s="37" t="s">
        <v>17</v>
      </c>
      <c r="D8" s="38"/>
      <c r="E8" s="39" t="s">
        <v>13</v>
      </c>
      <c r="F8" s="40"/>
      <c r="G8" s="41" t="s">
        <v>187</v>
      </c>
      <c r="H8" s="44"/>
      <c r="I8" s="44" t="s">
        <v>15</v>
      </c>
      <c r="J8" s="44"/>
      <c r="K8" t="s">
        <v>23</v>
      </c>
    </row>
    <row r="9" spans="1:24" ht="22.05" customHeight="1" x14ac:dyDescent="0.3">
      <c r="B9" s="36" t="s">
        <v>188</v>
      </c>
      <c r="C9" s="101" t="s">
        <v>17</v>
      </c>
      <c r="D9" s="38"/>
      <c r="E9" s="39" t="s">
        <v>13</v>
      </c>
      <c r="F9" s="40"/>
      <c r="G9" s="41" t="s">
        <v>189</v>
      </c>
      <c r="H9" s="44"/>
      <c r="I9" s="44" t="s">
        <v>15</v>
      </c>
      <c r="J9" s="44"/>
      <c r="K9" t="s">
        <v>71</v>
      </c>
    </row>
    <row r="10" spans="1:24" s="52" customFormat="1" ht="22.05" customHeight="1" x14ac:dyDescent="0.3">
      <c r="A10"/>
      <c r="B10" s="88" t="s">
        <v>1507</v>
      </c>
      <c r="C10" s="94" t="s">
        <v>17</v>
      </c>
      <c r="D10" s="89"/>
      <c r="E10" s="39" t="str">
        <f>E$5</f>
        <v>SVT + Physique-Chimie ou SVT + Maths</v>
      </c>
      <c r="F10" s="40"/>
      <c r="G10" s="41" t="s">
        <v>1508</v>
      </c>
      <c r="H10" s="44" t="s">
        <v>1509</v>
      </c>
      <c r="I10" s="44" t="str">
        <f>I$5</f>
        <v>SVT+PC | SVT+Maths</v>
      </c>
      <c r="J10" s="44"/>
      <c r="K10" s="100" t="s">
        <v>71</v>
      </c>
      <c r="L10"/>
    </row>
    <row r="11" spans="1:24" s="52" customFormat="1" ht="22.05" customHeight="1" x14ac:dyDescent="0.3">
      <c r="A11"/>
      <c r="B11" s="88" t="s">
        <v>1528</v>
      </c>
      <c r="C11" s="94" t="s">
        <v>17</v>
      </c>
      <c r="D11" s="89"/>
      <c r="E11" s="39" t="str">
        <f>E$5</f>
        <v>SVT + Physique-Chimie ou SVT + Maths</v>
      </c>
      <c r="F11" s="40"/>
      <c r="G11" s="41" t="s">
        <v>1529</v>
      </c>
      <c r="H11" s="44" t="s">
        <v>1530</v>
      </c>
      <c r="I11" s="44" t="str">
        <f>I$5</f>
        <v>SVT+PC | SVT+Maths</v>
      </c>
      <c r="J11" s="44"/>
      <c r="K11" s="100" t="s">
        <v>71</v>
      </c>
      <c r="L11"/>
    </row>
    <row r="12" spans="1:24" s="52" customFormat="1" ht="22.05" customHeight="1" x14ac:dyDescent="0.3">
      <c r="A12"/>
      <c r="B12" s="88" t="s">
        <v>1559</v>
      </c>
      <c r="C12" s="92" t="s">
        <v>17</v>
      </c>
      <c r="D12" s="89"/>
      <c r="E12" s="39" t="str">
        <f>E$5</f>
        <v>SVT + Physique-Chimie ou SVT + Maths</v>
      </c>
      <c r="F12" s="40"/>
      <c r="G12" s="41" t="s">
        <v>1560</v>
      </c>
      <c r="H12" s="44" t="s">
        <v>1561</v>
      </c>
      <c r="I12" s="44" t="str">
        <f>I$5</f>
        <v>SVT+PC | SVT+Maths</v>
      </c>
      <c r="J12" s="44"/>
      <c r="K12" s="100" t="s">
        <v>71</v>
      </c>
      <c r="L12"/>
    </row>
    <row r="13" spans="1:24" s="52" customFormat="1" ht="22.05" customHeight="1" x14ac:dyDescent="0.3">
      <c r="B13" s="36" t="s">
        <v>72</v>
      </c>
      <c r="C13" s="122" t="s">
        <v>17</v>
      </c>
      <c r="D13" s="38"/>
      <c r="E13" s="39" t="str">
        <f>E9</f>
        <v>SVT + Physique-Chimie ou SVT + Maths</v>
      </c>
      <c r="F13" s="40"/>
      <c r="G13" s="41" t="s">
        <v>73</v>
      </c>
      <c r="H13" s="71" t="s">
        <v>74</v>
      </c>
      <c r="I13" s="44" t="str">
        <f>I9</f>
        <v>SVT+PC | SVT+Maths</v>
      </c>
      <c r="J13" s="44"/>
      <c r="K13" t="s">
        <v>71</v>
      </c>
    </row>
    <row r="14" spans="1:24" s="52" customFormat="1" ht="22.05" customHeight="1" x14ac:dyDescent="0.3">
      <c r="B14" s="36" t="s">
        <v>68</v>
      </c>
      <c r="C14" s="54" t="s">
        <v>17</v>
      </c>
      <c r="D14" s="38"/>
      <c r="E14" s="39" t="str">
        <f>E9</f>
        <v>SVT + Physique-Chimie ou SVT + Maths</v>
      </c>
      <c r="F14" s="40"/>
      <c r="G14" s="41" t="s">
        <v>69</v>
      </c>
      <c r="H14" s="44" t="s">
        <v>70</v>
      </c>
      <c r="I14" s="44" t="str">
        <f>I9</f>
        <v>SVT+PC | SVT+Maths</v>
      </c>
      <c r="J14" s="44"/>
      <c r="K14" t="s">
        <v>71</v>
      </c>
    </row>
    <row r="15" spans="1:24" s="52" customFormat="1" ht="22.05" customHeight="1" x14ac:dyDescent="0.3">
      <c r="B15" s="36" t="s">
        <v>75</v>
      </c>
      <c r="C15" s="54" t="s">
        <v>17</v>
      </c>
      <c r="D15" s="38"/>
      <c r="E15" s="39" t="str">
        <f>E14</f>
        <v>SVT + Physique-Chimie ou SVT + Maths</v>
      </c>
      <c r="F15" s="40"/>
      <c r="G15" s="41" t="s">
        <v>76</v>
      </c>
      <c r="H15" s="44"/>
      <c r="I15" s="44" t="str">
        <f>I14</f>
        <v>SVT+PC | SVT+Maths</v>
      </c>
      <c r="J15" s="44"/>
      <c r="K15" t="s">
        <v>19</v>
      </c>
    </row>
    <row r="16" spans="1:24" s="52" customFormat="1" ht="22.05" customHeight="1" x14ac:dyDescent="0.3">
      <c r="A16"/>
      <c r="B16" s="88" t="s">
        <v>1577</v>
      </c>
      <c r="C16" s="61" t="s">
        <v>17</v>
      </c>
      <c r="D16" s="89"/>
      <c r="E16" s="39" t="str">
        <f t="shared" ref="E16:E21" si="0">E$5</f>
        <v>SVT + Physique-Chimie ou SVT + Maths</v>
      </c>
      <c r="F16" s="40"/>
      <c r="G16" s="41" t="s">
        <v>1578</v>
      </c>
      <c r="H16" s="44" t="s">
        <v>1579</v>
      </c>
      <c r="I16" s="44" t="str">
        <f t="shared" ref="I16:I21" si="1">I$5</f>
        <v>SVT+PC | SVT+Maths</v>
      </c>
      <c r="J16" s="44"/>
      <c r="K16" s="100" t="s">
        <v>71</v>
      </c>
      <c r="L16"/>
    </row>
    <row r="17" spans="1:12" s="52" customFormat="1" ht="22.05" customHeight="1" x14ac:dyDescent="0.3">
      <c r="A17"/>
      <c r="B17" s="88" t="s">
        <v>1590</v>
      </c>
      <c r="C17" s="61" t="s">
        <v>17</v>
      </c>
      <c r="D17" s="89"/>
      <c r="E17" s="39" t="str">
        <f t="shared" si="0"/>
        <v>SVT + Physique-Chimie ou SVT + Maths</v>
      </c>
      <c r="F17" s="40"/>
      <c r="G17" s="41" t="s">
        <v>1591</v>
      </c>
      <c r="H17" s="44" t="s">
        <v>1592</v>
      </c>
      <c r="I17" s="44" t="str">
        <f t="shared" si="1"/>
        <v>SVT+PC | SVT+Maths</v>
      </c>
      <c r="J17" s="44"/>
      <c r="K17" s="100" t="s">
        <v>19</v>
      </c>
      <c r="L17"/>
    </row>
    <row r="18" spans="1:12" s="52" customFormat="1" ht="22.05" customHeight="1" x14ac:dyDescent="0.3">
      <c r="A18"/>
      <c r="B18" s="88" t="s">
        <v>1593</v>
      </c>
      <c r="C18" s="61" t="s">
        <v>17</v>
      </c>
      <c r="D18" s="89"/>
      <c r="E18" s="39" t="str">
        <f t="shared" si="0"/>
        <v>SVT + Physique-Chimie ou SVT + Maths</v>
      </c>
      <c r="F18" s="40"/>
      <c r="G18" s="41" t="s">
        <v>1594</v>
      </c>
      <c r="H18" s="44" t="s">
        <v>1595</v>
      </c>
      <c r="I18" s="44" t="str">
        <f t="shared" si="1"/>
        <v>SVT+PC | SVT+Maths</v>
      </c>
      <c r="J18" s="44"/>
      <c r="K18" s="100" t="s">
        <v>71</v>
      </c>
      <c r="L18"/>
    </row>
    <row r="19" spans="1:12" s="52" customFormat="1" ht="22.05" customHeight="1" x14ac:dyDescent="0.3">
      <c r="B19" s="88" t="s">
        <v>1614</v>
      </c>
      <c r="C19" s="162" t="s">
        <v>17</v>
      </c>
      <c r="D19" s="89"/>
      <c r="E19" s="39" t="str">
        <f t="shared" si="0"/>
        <v>SVT + Physique-Chimie ou SVT + Maths</v>
      </c>
      <c r="F19" s="40"/>
      <c r="G19" s="41" t="s">
        <v>1615</v>
      </c>
      <c r="H19" s="44" t="s">
        <v>1616</v>
      </c>
      <c r="I19" s="44" t="str">
        <f t="shared" si="1"/>
        <v>SVT+PC | SVT+Maths</v>
      </c>
      <c r="J19" s="44"/>
      <c r="K19" s="100" t="s">
        <v>71</v>
      </c>
      <c r="L19"/>
    </row>
    <row r="20" spans="1:12" s="52" customFormat="1" ht="22.05" customHeight="1" x14ac:dyDescent="0.3">
      <c r="B20" s="88" t="s">
        <v>1626</v>
      </c>
      <c r="C20" s="162" t="s">
        <v>17</v>
      </c>
      <c r="D20" s="89"/>
      <c r="E20" s="39" t="str">
        <f t="shared" si="0"/>
        <v>SVT + Physique-Chimie ou SVT + Maths</v>
      </c>
      <c r="F20" s="40"/>
      <c r="G20" s="41" t="s">
        <v>1627</v>
      </c>
      <c r="H20" s="44"/>
      <c r="I20" s="44" t="str">
        <f t="shared" si="1"/>
        <v>SVT+PC | SVT+Maths</v>
      </c>
      <c r="J20" s="44"/>
      <c r="K20" s="100" t="s">
        <v>71</v>
      </c>
      <c r="L20"/>
    </row>
    <row r="21" spans="1:12" s="52" customFormat="1" ht="22.05" customHeight="1" x14ac:dyDescent="0.3">
      <c r="B21" s="88" t="s">
        <v>1639</v>
      </c>
      <c r="C21" s="161" t="s">
        <v>17</v>
      </c>
      <c r="D21" s="89"/>
      <c r="E21" s="39" t="str">
        <f t="shared" si="0"/>
        <v>SVT + Physique-Chimie ou SVT + Maths</v>
      </c>
      <c r="F21" s="40"/>
      <c r="G21" s="41" t="s">
        <v>1640</v>
      </c>
      <c r="H21" s="44" t="s">
        <v>1641</v>
      </c>
      <c r="I21" s="44" t="str">
        <f t="shared" si="1"/>
        <v>SVT+PC | SVT+Maths</v>
      </c>
      <c r="J21" s="44"/>
      <c r="K21" s="100" t="s">
        <v>71</v>
      </c>
      <c r="L21"/>
    </row>
    <row r="22" spans="1:12" ht="6" customHeight="1" x14ac:dyDescent="0.3"/>
    <row r="23" spans="1:12" ht="25.95" customHeight="1" x14ac:dyDescent="0.3">
      <c r="B23" s="33" t="s">
        <v>190</v>
      </c>
      <c r="C23" s="32"/>
      <c r="D23" s="32"/>
      <c r="E23" s="34" t="s">
        <v>191</v>
      </c>
      <c r="F23" s="35"/>
      <c r="G23" s="32"/>
      <c r="H23" s="43" t="s">
        <v>192</v>
      </c>
      <c r="I23" s="43" t="s">
        <v>193</v>
      </c>
      <c r="J23" s="43"/>
    </row>
    <row r="24" spans="1:12" ht="22.05" customHeight="1" x14ac:dyDescent="0.3">
      <c r="B24" s="36" t="s">
        <v>194</v>
      </c>
      <c r="C24" s="37" t="s">
        <v>17</v>
      </c>
      <c r="D24" s="38"/>
      <c r="E24" s="39" t="s">
        <v>191</v>
      </c>
      <c r="F24" s="40"/>
      <c r="G24" s="41" t="s">
        <v>195</v>
      </c>
      <c r="H24" s="44"/>
      <c r="I24" s="44" t="s">
        <v>193</v>
      </c>
      <c r="J24" s="44"/>
      <c r="K24" t="s">
        <v>19</v>
      </c>
    </row>
    <row r="25" spans="1:12" ht="22.05" customHeight="1" x14ac:dyDescent="0.3">
      <c r="B25" s="36" t="s">
        <v>196</v>
      </c>
      <c r="C25" s="37" t="s">
        <v>17</v>
      </c>
      <c r="D25" s="38"/>
      <c r="E25" s="39" t="s">
        <v>191</v>
      </c>
      <c r="F25" s="40"/>
      <c r="G25" s="41" t="s">
        <v>197</v>
      </c>
      <c r="H25" s="44"/>
      <c r="I25" s="44" t="s">
        <v>193</v>
      </c>
      <c r="J25" s="44"/>
      <c r="K25" s="87" t="s">
        <v>19</v>
      </c>
      <c r="L25" s="87"/>
    </row>
    <row r="26" spans="1:12" ht="22.05" customHeight="1" x14ac:dyDescent="0.3">
      <c r="B26" s="36" t="s">
        <v>198</v>
      </c>
      <c r="C26" s="37" t="s">
        <v>17</v>
      </c>
      <c r="D26" s="63" t="s">
        <v>17</v>
      </c>
      <c r="E26" s="39" t="s">
        <v>191</v>
      </c>
      <c r="F26" s="40"/>
      <c r="G26" s="41" t="s">
        <v>199</v>
      </c>
      <c r="H26" s="44"/>
      <c r="I26" s="44" t="s">
        <v>193</v>
      </c>
      <c r="J26" s="44"/>
      <c r="K26" s="87" t="s">
        <v>19</v>
      </c>
      <c r="L26" s="87"/>
    </row>
    <row r="27" spans="1:12" ht="22.05" customHeight="1" x14ac:dyDescent="0.3">
      <c r="B27" s="36" t="s">
        <v>200</v>
      </c>
      <c r="C27" s="37" t="s">
        <v>17</v>
      </c>
      <c r="D27" s="38"/>
      <c r="E27" s="39" t="s">
        <v>191</v>
      </c>
      <c r="F27" s="40"/>
      <c r="G27" s="41" t="s">
        <v>201</v>
      </c>
      <c r="H27" s="44"/>
      <c r="I27" s="44" t="s">
        <v>193</v>
      </c>
      <c r="J27" s="44"/>
      <c r="K27" t="s">
        <v>19</v>
      </c>
    </row>
    <row r="28" spans="1:12" ht="22.05" customHeight="1" x14ac:dyDescent="0.3">
      <c r="B28" s="36" t="s">
        <v>202</v>
      </c>
      <c r="C28" s="37" t="s">
        <v>17</v>
      </c>
      <c r="D28" s="38"/>
      <c r="E28" s="39" t="s">
        <v>191</v>
      </c>
      <c r="F28" s="40"/>
      <c r="G28" s="41" t="s">
        <v>203</v>
      </c>
      <c r="H28" s="44"/>
      <c r="I28" s="44" t="s">
        <v>193</v>
      </c>
      <c r="J28" s="44"/>
      <c r="K28" t="s">
        <v>23</v>
      </c>
    </row>
    <row r="29" spans="1:12" ht="22.05" customHeight="1" x14ac:dyDescent="0.3">
      <c r="B29" s="36" t="s">
        <v>204</v>
      </c>
      <c r="C29" s="37" t="s">
        <v>17</v>
      </c>
      <c r="D29" s="38"/>
      <c r="E29" s="39" t="s">
        <v>191</v>
      </c>
      <c r="F29" s="40"/>
      <c r="G29" s="41" t="s">
        <v>205</v>
      </c>
      <c r="H29" s="44"/>
      <c r="I29" s="44" t="s">
        <v>193</v>
      </c>
      <c r="J29" s="44"/>
      <c r="K29" t="s">
        <v>19</v>
      </c>
    </row>
    <row r="30" spans="1:12" ht="22.05" customHeight="1" x14ac:dyDescent="0.3">
      <c r="B30" s="36" t="s">
        <v>206</v>
      </c>
      <c r="C30" s="101" t="s">
        <v>17</v>
      </c>
      <c r="D30" s="38"/>
      <c r="E30" s="39" t="s">
        <v>191</v>
      </c>
      <c r="F30" s="40"/>
      <c r="G30" s="41" t="s">
        <v>207</v>
      </c>
      <c r="H30" s="44"/>
      <c r="I30" s="44" t="s">
        <v>193</v>
      </c>
      <c r="J30" s="44"/>
      <c r="K30" t="s">
        <v>19</v>
      </c>
    </row>
    <row r="31" spans="1:12" s="52" customFormat="1" ht="22.05" customHeight="1" x14ac:dyDescent="0.3">
      <c r="A31"/>
      <c r="B31" s="88" t="s">
        <v>1446</v>
      </c>
      <c r="C31" s="92" t="s">
        <v>17</v>
      </c>
      <c r="D31" s="89"/>
      <c r="E31" s="39" t="str">
        <f>E$23</f>
        <v>SVT + HGGSP ou SVT + Physique-Chimie</v>
      </c>
      <c r="F31" s="40"/>
      <c r="G31" s="41" t="s">
        <v>1447</v>
      </c>
      <c r="H31" s="44" t="s">
        <v>1448</v>
      </c>
      <c r="I31" s="44" t="str">
        <f>I$23</f>
        <v>SVT+HGGSP | SVT+PC</v>
      </c>
      <c r="J31" s="44"/>
      <c r="K31" s="100" t="s">
        <v>19</v>
      </c>
      <c r="L31"/>
    </row>
    <row r="32" spans="1:12" ht="22.05" customHeight="1" x14ac:dyDescent="0.3">
      <c r="B32" s="36" t="s">
        <v>208</v>
      </c>
      <c r="C32" s="91" t="s">
        <v>17</v>
      </c>
      <c r="D32" s="38"/>
      <c r="E32" s="39" t="s">
        <v>191</v>
      </c>
      <c r="F32" s="40"/>
      <c r="G32" s="41" t="s">
        <v>209</v>
      </c>
      <c r="H32" s="44"/>
      <c r="I32" s="44" t="s">
        <v>193</v>
      </c>
      <c r="J32" s="44"/>
      <c r="K32" t="s">
        <v>19</v>
      </c>
    </row>
    <row r="33" spans="2:12" ht="22.05" customHeight="1" x14ac:dyDescent="0.3">
      <c r="B33" s="36" t="s">
        <v>210</v>
      </c>
      <c r="C33" s="37" t="s">
        <v>17</v>
      </c>
      <c r="D33" s="38"/>
      <c r="E33" s="39" t="s">
        <v>191</v>
      </c>
      <c r="F33" s="40"/>
      <c r="G33" s="41" t="s">
        <v>211</v>
      </c>
      <c r="H33" s="44"/>
      <c r="I33" s="44" t="s">
        <v>193</v>
      </c>
      <c r="J33" s="44"/>
      <c r="K33" t="s">
        <v>19</v>
      </c>
    </row>
    <row r="34" spans="2:12" ht="22.05" customHeight="1" x14ac:dyDescent="0.3">
      <c r="B34" s="36" t="s">
        <v>212</v>
      </c>
      <c r="C34" s="37" t="s">
        <v>17</v>
      </c>
      <c r="D34" s="38"/>
      <c r="E34" s="39" t="s">
        <v>191</v>
      </c>
      <c r="F34" s="40"/>
      <c r="G34" s="41" t="s">
        <v>213</v>
      </c>
      <c r="H34" s="44"/>
      <c r="I34" s="44" t="s">
        <v>193</v>
      </c>
      <c r="J34" s="44"/>
      <c r="K34" t="s">
        <v>19</v>
      </c>
    </row>
    <row r="35" spans="2:12" s="52" customFormat="1" ht="22.05" customHeight="1" x14ac:dyDescent="0.3">
      <c r="B35" s="36" t="s">
        <v>214</v>
      </c>
      <c r="C35" s="54" t="s">
        <v>17</v>
      </c>
      <c r="D35" s="38"/>
      <c r="E35" s="39" t="str">
        <f>E$23</f>
        <v>SVT + HGGSP ou SVT + Physique-Chimie</v>
      </c>
      <c r="F35" s="40"/>
      <c r="G35" s="41" t="s">
        <v>215</v>
      </c>
      <c r="H35" s="44"/>
      <c r="I35" s="44" t="str">
        <f>I$23</f>
        <v>SVT+HGGSP | SVT+PC</v>
      </c>
      <c r="J35" s="44"/>
      <c r="K35" t="s">
        <v>19</v>
      </c>
    </row>
    <row r="36" spans="2:12" ht="22.05" customHeight="1" x14ac:dyDescent="0.3">
      <c r="B36" s="36" t="s">
        <v>216</v>
      </c>
      <c r="C36" s="37" t="s">
        <v>17</v>
      </c>
      <c r="D36" s="38"/>
      <c r="E36" s="39" t="s">
        <v>191</v>
      </c>
      <c r="F36" s="40"/>
      <c r="G36" s="41" t="s">
        <v>217</v>
      </c>
      <c r="H36" s="44"/>
      <c r="I36" s="44" t="s">
        <v>193</v>
      </c>
      <c r="J36" s="44"/>
      <c r="K36" s="87" t="s">
        <v>19</v>
      </c>
      <c r="L36" s="87"/>
    </row>
    <row r="37" spans="2:12" ht="22.05" customHeight="1" x14ac:dyDescent="0.3">
      <c r="B37" s="36" t="s">
        <v>218</v>
      </c>
      <c r="C37" s="37" t="s">
        <v>17</v>
      </c>
      <c r="D37" s="38"/>
      <c r="E37" s="39" t="s">
        <v>191</v>
      </c>
      <c r="F37" s="40"/>
      <c r="G37" s="41" t="s">
        <v>219</v>
      </c>
      <c r="H37" s="44"/>
      <c r="I37" s="44" t="s">
        <v>193</v>
      </c>
      <c r="J37" s="44"/>
      <c r="K37" t="s">
        <v>19</v>
      </c>
    </row>
    <row r="38" spans="2:12" ht="22.05" customHeight="1" x14ac:dyDescent="0.3">
      <c r="B38" s="36" t="s">
        <v>220</v>
      </c>
      <c r="C38" s="37" t="s">
        <v>17</v>
      </c>
      <c r="D38" s="38"/>
      <c r="E38" s="39" t="s">
        <v>191</v>
      </c>
      <c r="F38" s="40"/>
      <c r="G38" s="41" t="s">
        <v>221</v>
      </c>
      <c r="H38" s="44"/>
      <c r="I38" s="44" t="s">
        <v>193</v>
      </c>
      <c r="J38" s="44"/>
      <c r="K38" t="s">
        <v>19</v>
      </c>
    </row>
    <row r="39" spans="2:12" ht="22.05" customHeight="1" x14ac:dyDescent="0.3">
      <c r="B39" s="36" t="s">
        <v>222</v>
      </c>
      <c r="C39" s="37" t="s">
        <v>17</v>
      </c>
      <c r="D39" s="38"/>
      <c r="E39" s="39" t="s">
        <v>191</v>
      </c>
      <c r="F39" s="40"/>
      <c r="G39" s="41" t="s">
        <v>223</v>
      </c>
      <c r="H39" s="44"/>
      <c r="I39" s="44" t="s">
        <v>193</v>
      </c>
      <c r="J39" s="44"/>
      <c r="K39" t="s">
        <v>19</v>
      </c>
    </row>
    <row r="40" spans="2:12" ht="22.05" customHeight="1" x14ac:dyDescent="0.3">
      <c r="B40" s="36" t="s">
        <v>224</v>
      </c>
      <c r="C40" s="37" t="s">
        <v>17</v>
      </c>
      <c r="D40" s="38"/>
      <c r="E40" s="39" t="s">
        <v>191</v>
      </c>
      <c r="F40" s="40"/>
      <c r="G40" s="41" t="s">
        <v>225</v>
      </c>
      <c r="H40" s="44"/>
      <c r="I40" s="44" t="s">
        <v>193</v>
      </c>
      <c r="J40" s="44"/>
      <c r="K40" t="s">
        <v>19</v>
      </c>
    </row>
    <row r="41" spans="2:12" s="52" customFormat="1" ht="22.05" customHeight="1" x14ac:dyDescent="0.3">
      <c r="B41" s="36" t="s">
        <v>226</v>
      </c>
      <c r="C41" s="54" t="s">
        <v>17</v>
      </c>
      <c r="D41" s="38"/>
      <c r="E41" s="39" t="str">
        <f>E23</f>
        <v>SVT + HGGSP ou SVT + Physique-Chimie</v>
      </c>
      <c r="F41" s="40"/>
      <c r="G41" s="41" t="s">
        <v>227</v>
      </c>
      <c r="H41" s="44"/>
      <c r="I41" s="44" t="str">
        <f>I23</f>
        <v>SVT+HGGSP | SVT+PC</v>
      </c>
      <c r="J41" s="44"/>
      <c r="K41" t="s">
        <v>19</v>
      </c>
    </row>
    <row r="42" spans="2:12" s="52" customFormat="1" ht="22.05" customHeight="1" x14ac:dyDescent="0.3">
      <c r="B42" s="36" t="s">
        <v>228</v>
      </c>
      <c r="C42" s="68" t="s">
        <v>17</v>
      </c>
      <c r="D42" s="38"/>
      <c r="E42" s="39" t="str">
        <f>E$23</f>
        <v>SVT + HGGSP ou SVT + Physique-Chimie</v>
      </c>
      <c r="F42" s="40"/>
      <c r="G42" s="41" t="s">
        <v>229</v>
      </c>
      <c r="H42" s="44"/>
      <c r="I42" s="44" t="str">
        <f>I$23</f>
        <v>SVT+HGGSP | SVT+PC</v>
      </c>
      <c r="J42" s="44"/>
      <c r="K42" t="s">
        <v>23</v>
      </c>
    </row>
    <row r="43" spans="2:12" s="52" customFormat="1" ht="22.05" customHeight="1" x14ac:dyDescent="0.3">
      <c r="B43" s="36" t="s">
        <v>230</v>
      </c>
      <c r="C43" s="60" t="s">
        <v>17</v>
      </c>
      <c r="D43" s="38"/>
      <c r="E43" s="39" t="str">
        <f>E$23</f>
        <v>SVT + HGGSP ou SVT + Physique-Chimie</v>
      </c>
      <c r="F43" s="40"/>
      <c r="G43" s="41" t="s">
        <v>231</v>
      </c>
      <c r="H43" s="44"/>
      <c r="I43" s="44" t="str">
        <f>I$23</f>
        <v>SVT+HGGSP | SVT+PC</v>
      </c>
      <c r="J43" s="44"/>
      <c r="K43" t="s">
        <v>23</v>
      </c>
    </row>
    <row r="44" spans="2:12" s="52" customFormat="1" ht="22.05" customHeight="1" x14ac:dyDescent="0.3">
      <c r="B44" s="36" t="s">
        <v>232</v>
      </c>
      <c r="C44" s="60" t="s">
        <v>17</v>
      </c>
      <c r="D44" s="38"/>
      <c r="E44" s="39" t="s">
        <v>40</v>
      </c>
      <c r="F44" s="40"/>
      <c r="G44" s="41" t="s">
        <v>233</v>
      </c>
      <c r="H44" s="44"/>
      <c r="I44" s="44" t="s">
        <v>43</v>
      </c>
      <c r="J44" s="44"/>
      <c r="K44" t="s">
        <v>23</v>
      </c>
    </row>
    <row r="45" spans="2:12" s="52" customFormat="1" ht="22.05" customHeight="1" x14ac:dyDescent="0.3">
      <c r="B45" s="36" t="s">
        <v>234</v>
      </c>
      <c r="C45" s="62" t="s">
        <v>17</v>
      </c>
      <c r="D45" s="38"/>
      <c r="E45" s="39" t="s">
        <v>40</v>
      </c>
      <c r="F45" s="40"/>
      <c r="G45" s="41" t="s">
        <v>235</v>
      </c>
      <c r="H45" s="44"/>
      <c r="I45" s="44" t="s">
        <v>43</v>
      </c>
      <c r="J45" s="44"/>
      <c r="K45" t="s">
        <v>23</v>
      </c>
    </row>
    <row r="46" spans="2:12" s="52" customFormat="1" ht="22.05" customHeight="1" x14ac:dyDescent="0.3">
      <c r="B46" s="36" t="s">
        <v>236</v>
      </c>
      <c r="C46" s="77" t="s">
        <v>17</v>
      </c>
      <c r="D46" s="38"/>
      <c r="E46" s="39" t="s">
        <v>40</v>
      </c>
      <c r="F46" s="40"/>
      <c r="G46" s="41" t="s">
        <v>237</v>
      </c>
      <c r="H46" s="44"/>
      <c r="I46" s="44" t="s">
        <v>43</v>
      </c>
      <c r="J46" s="44"/>
      <c r="K46" t="s">
        <v>23</v>
      </c>
    </row>
    <row r="47" spans="2:12" s="52" customFormat="1" ht="22.05" customHeight="1" x14ac:dyDescent="0.3">
      <c r="B47" s="36" t="s">
        <v>238</v>
      </c>
      <c r="C47" s="90" t="s">
        <v>17</v>
      </c>
      <c r="D47" s="38"/>
      <c r="E47" s="39" t="str">
        <f>E$23</f>
        <v>SVT + HGGSP ou SVT + Physique-Chimie</v>
      </c>
      <c r="F47" s="40"/>
      <c r="G47" s="41" t="s">
        <v>239</v>
      </c>
      <c r="H47" s="44"/>
      <c r="I47" s="44" t="str">
        <f>I$23</f>
        <v>SVT+HGGSP | SVT+PC</v>
      </c>
      <c r="J47" s="44"/>
      <c r="K47" t="s">
        <v>71</v>
      </c>
    </row>
    <row r="48" spans="2:12" s="52" customFormat="1" ht="22.05" customHeight="1" x14ac:dyDescent="0.3">
      <c r="B48" s="88" t="s">
        <v>1554</v>
      </c>
      <c r="C48" s="92" t="s">
        <v>17</v>
      </c>
      <c r="D48" s="89"/>
      <c r="E48" s="39" t="s">
        <v>1555</v>
      </c>
      <c r="F48" s="40"/>
      <c r="G48" s="41" t="s">
        <v>1557</v>
      </c>
      <c r="H48" s="44" t="s">
        <v>1558</v>
      </c>
      <c r="I48" s="44" t="s">
        <v>1556</v>
      </c>
      <c r="J48" s="44"/>
      <c r="K48" s="97" t="s">
        <v>71</v>
      </c>
    </row>
    <row r="49" spans="2:12" s="52" customFormat="1" ht="22.05" customHeight="1" x14ac:dyDescent="0.3">
      <c r="B49" s="36" t="s">
        <v>240</v>
      </c>
      <c r="C49" s="112" t="s">
        <v>17</v>
      </c>
      <c r="D49" s="38"/>
      <c r="E49" s="39" t="str">
        <f>E$23</f>
        <v>SVT + HGGSP ou SVT + Physique-Chimie</v>
      </c>
      <c r="F49" s="40"/>
      <c r="G49" s="41" t="s">
        <v>241</v>
      </c>
      <c r="H49" s="44" t="s">
        <v>242</v>
      </c>
      <c r="I49" s="44" t="str">
        <f>I$23</f>
        <v>SVT+HGGSP | SVT+PC</v>
      </c>
      <c r="J49" s="44"/>
      <c r="K49" t="s">
        <v>23</v>
      </c>
    </row>
    <row r="50" spans="2:12" ht="6" customHeight="1" x14ac:dyDescent="0.3">
      <c r="B50" s="36" t="s">
        <v>243</v>
      </c>
      <c r="C50" s="77" t="s">
        <v>17</v>
      </c>
      <c r="D50" s="38"/>
      <c r="E50" s="39" t="s">
        <v>191</v>
      </c>
      <c r="F50" s="40"/>
      <c r="G50" s="41" t="s">
        <v>244</v>
      </c>
      <c r="H50" s="44"/>
      <c r="I50" s="44" t="s">
        <v>193</v>
      </c>
      <c r="J50" s="44"/>
      <c r="K50" t="s">
        <v>19</v>
      </c>
    </row>
    <row r="51" spans="2:12" ht="25.95" customHeight="1" x14ac:dyDescent="0.3">
      <c r="B51" s="36" t="s">
        <v>245</v>
      </c>
      <c r="C51" s="90" t="s">
        <v>17</v>
      </c>
      <c r="D51" s="38"/>
      <c r="E51" s="39" t="s">
        <v>191</v>
      </c>
      <c r="F51" s="40"/>
      <c r="G51" s="41" t="s">
        <v>246</v>
      </c>
      <c r="H51" s="44"/>
      <c r="I51" s="44" t="s">
        <v>193</v>
      </c>
      <c r="J51" s="44"/>
      <c r="K51" t="s">
        <v>19</v>
      </c>
    </row>
    <row r="52" spans="2:12" s="52" customFormat="1" ht="25.95" customHeight="1" x14ac:dyDescent="0.3">
      <c r="B52" s="88" t="s">
        <v>1617</v>
      </c>
      <c r="C52" s="161" t="s">
        <v>17</v>
      </c>
      <c r="D52" s="89"/>
      <c r="E52" s="39" t="str">
        <f>E$23</f>
        <v>SVT + HGGSP ou SVT + Physique-Chimie</v>
      </c>
      <c r="F52" s="40"/>
      <c r="G52" s="41" t="s">
        <v>1618</v>
      </c>
      <c r="H52" s="44" t="s">
        <v>1619</v>
      </c>
      <c r="I52" s="44" t="str">
        <f>I$23</f>
        <v>SVT+HGGSP | SVT+PC</v>
      </c>
      <c r="J52" s="44"/>
      <c r="K52" t="s">
        <v>71</v>
      </c>
      <c r="L52"/>
    </row>
    <row r="53" spans="2:12" ht="22.05" customHeight="1" x14ac:dyDescent="0.3"/>
    <row r="54" spans="2:12" ht="22.05" customHeight="1" thickBot="1" x14ac:dyDescent="0.35">
      <c r="B54" s="33" t="s">
        <v>247</v>
      </c>
      <c r="C54" s="32"/>
      <c r="D54" s="32"/>
      <c r="E54" s="34" t="s">
        <v>248</v>
      </c>
      <c r="F54" s="35" t="s">
        <v>249</v>
      </c>
      <c r="G54" s="32"/>
      <c r="H54" s="43" t="s">
        <v>250</v>
      </c>
      <c r="I54" s="43" t="s">
        <v>251</v>
      </c>
      <c r="J54" s="43"/>
    </row>
    <row r="55" spans="2:12" ht="22.05" customHeight="1" x14ac:dyDescent="0.3">
      <c r="B55" s="36" t="s">
        <v>252</v>
      </c>
      <c r="C55" s="37" t="s">
        <v>17</v>
      </c>
      <c r="D55" s="38"/>
      <c r="E55" s="39" t="s">
        <v>248</v>
      </c>
      <c r="F55" s="40" t="s">
        <v>249</v>
      </c>
      <c r="G55" s="41" t="s">
        <v>253</v>
      </c>
      <c r="H55" s="44"/>
      <c r="I55" s="44" t="s">
        <v>251</v>
      </c>
      <c r="J55" s="44"/>
      <c r="K55" t="s">
        <v>19</v>
      </c>
    </row>
    <row r="56" spans="2:12" ht="22.05" customHeight="1" x14ac:dyDescent="0.3">
      <c r="B56" s="36" t="s">
        <v>254</v>
      </c>
      <c r="C56" s="37" t="s">
        <v>17</v>
      </c>
      <c r="D56" s="38"/>
      <c r="E56" s="39" t="s">
        <v>248</v>
      </c>
      <c r="F56" s="40" t="s">
        <v>249</v>
      </c>
      <c r="G56" s="41" t="s">
        <v>255</v>
      </c>
      <c r="H56" s="44"/>
      <c r="I56" s="44" t="s">
        <v>251</v>
      </c>
      <c r="J56" s="44"/>
      <c r="K56" t="s">
        <v>19</v>
      </c>
    </row>
    <row r="57" spans="2:12" ht="22.05" customHeight="1" x14ac:dyDescent="0.3">
      <c r="B57" s="36" t="s">
        <v>256</v>
      </c>
      <c r="C57" s="37" t="s">
        <v>17</v>
      </c>
      <c r="D57" s="38"/>
      <c r="E57" s="39" t="s">
        <v>248</v>
      </c>
      <c r="F57" s="40" t="s">
        <v>249</v>
      </c>
      <c r="G57" s="41" t="s">
        <v>257</v>
      </c>
      <c r="H57" s="44"/>
      <c r="I57" s="44" t="s">
        <v>251</v>
      </c>
      <c r="J57" s="44"/>
      <c r="K57" t="s">
        <v>19</v>
      </c>
    </row>
    <row r="58" spans="2:12" s="52" customFormat="1" ht="22.05" customHeight="1" x14ac:dyDescent="0.3">
      <c r="B58" s="36" t="s">
        <v>258</v>
      </c>
      <c r="C58" s="37" t="s">
        <v>17</v>
      </c>
      <c r="D58" s="38"/>
      <c r="E58" s="39" t="s">
        <v>248</v>
      </c>
      <c r="F58" s="40" t="s">
        <v>249</v>
      </c>
      <c r="G58" s="41" t="s">
        <v>259</v>
      </c>
      <c r="H58" s="44"/>
      <c r="I58" s="44" t="s">
        <v>251</v>
      </c>
      <c r="J58" s="44"/>
      <c r="K58" t="s">
        <v>19</v>
      </c>
    </row>
    <row r="59" spans="2:12" s="52" customFormat="1" ht="22.05" customHeight="1" x14ac:dyDescent="0.3">
      <c r="B59" s="36" t="s">
        <v>162</v>
      </c>
      <c r="C59" s="37" t="s">
        <v>17</v>
      </c>
      <c r="D59" s="38"/>
      <c r="E59" s="39" t="s">
        <v>248</v>
      </c>
      <c r="F59" s="40" t="s">
        <v>249</v>
      </c>
      <c r="G59" s="41" t="s">
        <v>163</v>
      </c>
      <c r="H59" s="44"/>
      <c r="I59" s="44" t="s">
        <v>251</v>
      </c>
      <c r="J59" s="44"/>
      <c r="K59" t="s">
        <v>19</v>
      </c>
    </row>
    <row r="60" spans="2:12" s="52" customFormat="1" ht="22.05" customHeight="1" x14ac:dyDescent="0.3">
      <c r="B60" s="36" t="s">
        <v>260</v>
      </c>
      <c r="C60" s="60" t="s">
        <v>17</v>
      </c>
      <c r="D60" s="38"/>
      <c r="E60" s="39" t="s">
        <v>248</v>
      </c>
      <c r="F60" s="40" t="s">
        <v>249</v>
      </c>
      <c r="G60" s="41" t="s">
        <v>261</v>
      </c>
      <c r="H60" s="44"/>
      <c r="I60" s="44" t="s">
        <v>251</v>
      </c>
      <c r="J60" s="44"/>
      <c r="K60" t="s">
        <v>71</v>
      </c>
    </row>
    <row r="61" spans="2:12" s="52" customFormat="1" ht="22.05" customHeight="1" x14ac:dyDescent="0.3">
      <c r="B61" s="36" t="s">
        <v>87</v>
      </c>
      <c r="C61" s="54" t="s">
        <v>17</v>
      </c>
      <c r="D61" s="38"/>
      <c r="E61" s="39" t="str">
        <f>E59</f>
        <v>SVT + Maths ou SVT + NSI</v>
      </c>
      <c r="F61" s="40" t="str">
        <f>F59</f>
        <v>Maths conservée en Tle conseillée — sinon Maths compl. (option)</v>
      </c>
      <c r="G61" s="41" t="s">
        <v>88</v>
      </c>
      <c r="H61" s="44" t="s">
        <v>89</v>
      </c>
      <c r="I61" s="44" t="str">
        <f>I59</f>
        <v>SVT+Maths | SVT+NSI</v>
      </c>
      <c r="J61" s="44"/>
      <c r="K61" t="s">
        <v>19</v>
      </c>
    </row>
    <row r="62" spans="2:12" s="52" customFormat="1" ht="22.05" customHeight="1" x14ac:dyDescent="0.3">
      <c r="B62" s="36" t="s">
        <v>90</v>
      </c>
      <c r="C62" s="54" t="s">
        <v>17</v>
      </c>
      <c r="D62" s="38"/>
      <c r="E62" s="39" t="str">
        <f>E61</f>
        <v>SVT + Maths ou SVT + NSI</v>
      </c>
      <c r="F62" s="40" t="str">
        <f>F61</f>
        <v>Maths conservée en Tle conseillée — sinon Maths compl. (option)</v>
      </c>
      <c r="G62" s="41" t="s">
        <v>91</v>
      </c>
      <c r="H62" s="44"/>
      <c r="I62" s="44" t="str">
        <f>I61</f>
        <v>SVT+Maths | SVT+NSI</v>
      </c>
      <c r="J62" s="44"/>
      <c r="K62" t="s">
        <v>19</v>
      </c>
    </row>
    <row r="63" spans="2:12" ht="6" customHeight="1" x14ac:dyDescent="0.3">
      <c r="B63" s="36" t="s">
        <v>77</v>
      </c>
      <c r="C63" s="54" t="s">
        <v>17</v>
      </c>
      <c r="D63" s="38"/>
      <c r="E63" s="39" t="str">
        <f>E62</f>
        <v>SVT + Maths ou SVT + NSI</v>
      </c>
      <c r="F63" s="40" t="str">
        <f>F62</f>
        <v>Maths conservée en Tle conseillée — sinon Maths compl. (option)</v>
      </c>
      <c r="G63" s="41" t="s">
        <v>78</v>
      </c>
      <c r="H63" s="44"/>
      <c r="I63" s="44" t="str">
        <f>I62</f>
        <v>SVT+Maths | SVT+NSI</v>
      </c>
      <c r="J63" s="44"/>
      <c r="K63" t="s">
        <v>19</v>
      </c>
    </row>
    <row r="64" spans="2:12" ht="25.95" customHeight="1" x14ac:dyDescent="0.3">
      <c r="B64" s="36" t="s">
        <v>262</v>
      </c>
      <c r="C64" s="90" t="s">
        <v>17</v>
      </c>
      <c r="D64" s="38"/>
      <c r="E64" s="39" t="str">
        <f>E$54</f>
        <v>SVT + Maths ou SVT + NSI</v>
      </c>
      <c r="F64" s="40" t="str">
        <f>F$54</f>
        <v>Maths conservée en Tle conseillée — sinon Maths compl. (option)</v>
      </c>
      <c r="G64" s="41" t="s">
        <v>263</v>
      </c>
      <c r="H64" s="44" t="s">
        <v>264</v>
      </c>
      <c r="I64" s="44" t="str">
        <f>I$54</f>
        <v>SVT+Maths | SVT+NSI</v>
      </c>
      <c r="J64" s="44"/>
      <c r="K64" t="s">
        <v>19</v>
      </c>
    </row>
    <row r="65" spans="1:12" s="52" customFormat="1" ht="25.95" customHeight="1" x14ac:dyDescent="0.3">
      <c r="B65" s="88" t="s">
        <v>1608</v>
      </c>
      <c r="C65" s="161" t="s">
        <v>17</v>
      </c>
      <c r="D65" s="89"/>
      <c r="E65" s="39" t="str">
        <f>E$54</f>
        <v>SVT + Maths ou SVT + NSI</v>
      </c>
      <c r="F65" s="40" t="str">
        <f>F$54</f>
        <v>Maths conservée en Tle conseillée — sinon Maths compl. (option)</v>
      </c>
      <c r="G65" s="41" t="s">
        <v>1609</v>
      </c>
      <c r="H65" s="44" t="s">
        <v>71</v>
      </c>
      <c r="I65" s="44" t="str">
        <f>I$54</f>
        <v>SVT+Maths | SVT+NSI</v>
      </c>
      <c r="J65" s="44"/>
      <c r="K65" t="s">
        <v>71</v>
      </c>
      <c r="L65"/>
    </row>
    <row r="66" spans="1:12" ht="22.05" customHeight="1" x14ac:dyDescent="0.3"/>
    <row r="67" spans="1:12" ht="22.05" customHeight="1" thickBot="1" x14ac:dyDescent="0.35">
      <c r="B67" s="33" t="s">
        <v>265</v>
      </c>
      <c r="C67" s="32"/>
      <c r="D67" s="32"/>
      <c r="E67" s="34" t="s">
        <v>13</v>
      </c>
      <c r="F67" s="35"/>
      <c r="G67" s="32"/>
      <c r="H67" s="43" t="s">
        <v>266</v>
      </c>
      <c r="I67" s="43" t="s">
        <v>15</v>
      </c>
      <c r="J67" s="43"/>
    </row>
    <row r="68" spans="1:12" ht="22.05" customHeight="1" x14ac:dyDescent="0.3">
      <c r="B68" s="36" t="s">
        <v>267</v>
      </c>
      <c r="C68" s="37" t="s">
        <v>17</v>
      </c>
      <c r="D68" s="38"/>
      <c r="E68" s="39" t="s">
        <v>13</v>
      </c>
      <c r="F68" s="40"/>
      <c r="G68" s="41" t="s">
        <v>268</v>
      </c>
      <c r="H68" s="44"/>
      <c r="I68" s="44" t="s">
        <v>15</v>
      </c>
      <c r="J68" s="44"/>
      <c r="K68" s="87" t="s">
        <v>19</v>
      </c>
      <c r="L68" s="87"/>
    </row>
    <row r="69" spans="1:12" ht="22.05" customHeight="1" x14ac:dyDescent="0.3">
      <c r="B69" s="36" t="s">
        <v>269</v>
      </c>
      <c r="C69" s="37" t="s">
        <v>17</v>
      </c>
      <c r="D69" s="38"/>
      <c r="E69" s="39" t="s">
        <v>13</v>
      </c>
      <c r="F69" s="40"/>
      <c r="G69" s="41" t="s">
        <v>270</v>
      </c>
      <c r="H69" s="44"/>
      <c r="I69" s="44" t="s">
        <v>15</v>
      </c>
      <c r="J69" s="44"/>
      <c r="K69" t="s">
        <v>19</v>
      </c>
    </row>
    <row r="70" spans="1:12" ht="22.05" customHeight="1" x14ac:dyDescent="0.3">
      <c r="B70" s="36" t="s">
        <v>271</v>
      </c>
      <c r="C70" s="37" t="s">
        <v>17</v>
      </c>
      <c r="D70" s="38"/>
      <c r="E70" s="39" t="s">
        <v>13</v>
      </c>
      <c r="F70" s="40"/>
      <c r="G70" s="41" t="s">
        <v>272</v>
      </c>
      <c r="H70" s="44"/>
      <c r="I70" s="44" t="s">
        <v>15</v>
      </c>
      <c r="J70" s="44"/>
      <c r="K70" t="s">
        <v>19</v>
      </c>
    </row>
    <row r="71" spans="1:12" ht="22.05" customHeight="1" x14ac:dyDescent="0.3">
      <c r="B71" s="36" t="s">
        <v>273</v>
      </c>
      <c r="C71" s="101" t="s">
        <v>17</v>
      </c>
      <c r="D71" s="38"/>
      <c r="E71" s="39" t="s">
        <v>13</v>
      </c>
      <c r="F71" s="40"/>
      <c r="G71" s="41" t="s">
        <v>274</v>
      </c>
      <c r="H71" s="44"/>
      <c r="I71" s="44" t="s">
        <v>15</v>
      </c>
      <c r="J71" s="44"/>
      <c r="K71" t="s">
        <v>71</v>
      </c>
    </row>
    <row r="72" spans="1:12" s="52" customFormat="1" ht="22.05" customHeight="1" x14ac:dyDescent="0.3">
      <c r="A72"/>
      <c r="B72" s="88" t="s">
        <v>1516</v>
      </c>
      <c r="C72" s="94" t="s">
        <v>17</v>
      </c>
      <c r="D72" s="89"/>
      <c r="E72" s="39" t="str">
        <f t="shared" ref="E72:E78" si="2">E$67</f>
        <v>SVT + Physique-Chimie ou SVT + Maths</v>
      </c>
      <c r="F72" s="40"/>
      <c r="G72" s="41" t="s">
        <v>1517</v>
      </c>
      <c r="H72" s="44" t="s">
        <v>1518</v>
      </c>
      <c r="I72" s="44" t="str">
        <f t="shared" ref="I72:I78" si="3">I$67</f>
        <v>SVT+PC | SVT+Maths</v>
      </c>
      <c r="J72" s="44"/>
      <c r="K72" s="100" t="s">
        <v>71</v>
      </c>
      <c r="L72"/>
    </row>
    <row r="73" spans="1:12" s="52" customFormat="1" ht="22.05" customHeight="1" x14ac:dyDescent="0.3">
      <c r="A73"/>
      <c r="B73" s="88" t="s">
        <v>1522</v>
      </c>
      <c r="C73" s="94" t="s">
        <v>17</v>
      </c>
      <c r="D73" s="89"/>
      <c r="E73" s="39" t="str">
        <f t="shared" si="2"/>
        <v>SVT + Physique-Chimie ou SVT + Maths</v>
      </c>
      <c r="F73" s="40"/>
      <c r="G73" s="41" t="s">
        <v>1523</v>
      </c>
      <c r="H73" s="44" t="s">
        <v>1524</v>
      </c>
      <c r="I73" s="44" t="str">
        <f t="shared" si="3"/>
        <v>SVT+PC | SVT+Maths</v>
      </c>
      <c r="J73" s="44"/>
      <c r="K73" s="100" t="s">
        <v>71</v>
      </c>
      <c r="L73"/>
    </row>
    <row r="74" spans="1:12" s="52" customFormat="1" ht="22.05" customHeight="1" x14ac:dyDescent="0.3">
      <c r="A74"/>
      <c r="B74" s="88" t="s">
        <v>1534</v>
      </c>
      <c r="C74" s="94" t="s">
        <v>17</v>
      </c>
      <c r="D74" s="89"/>
      <c r="E74" s="39" t="str">
        <f t="shared" si="2"/>
        <v>SVT + Physique-Chimie ou SVT + Maths</v>
      </c>
      <c r="F74" s="40"/>
      <c r="G74" s="41" t="s">
        <v>1535</v>
      </c>
      <c r="H74" s="44" t="s">
        <v>1536</v>
      </c>
      <c r="I74" s="44" t="str">
        <f t="shared" si="3"/>
        <v>SVT+PC | SVT+Maths</v>
      </c>
      <c r="J74" s="44"/>
      <c r="K74" s="100" t="s">
        <v>71</v>
      </c>
      <c r="L74"/>
    </row>
    <row r="75" spans="1:12" s="52" customFormat="1" ht="22.05" customHeight="1" x14ac:dyDescent="0.3">
      <c r="A75"/>
      <c r="B75" s="88" t="s">
        <v>1545</v>
      </c>
      <c r="C75" s="94" t="s">
        <v>17</v>
      </c>
      <c r="D75" s="89"/>
      <c r="E75" s="39" t="str">
        <f t="shared" si="2"/>
        <v>SVT + Physique-Chimie ou SVT + Maths</v>
      </c>
      <c r="F75" s="40"/>
      <c r="G75" s="41" t="s">
        <v>1546</v>
      </c>
      <c r="H75" s="44" t="s">
        <v>1547</v>
      </c>
      <c r="I75" s="44" t="str">
        <f t="shared" si="3"/>
        <v>SVT+PC | SVT+Maths</v>
      </c>
      <c r="J75" s="44"/>
      <c r="K75" s="100" t="s">
        <v>71</v>
      </c>
      <c r="L75"/>
    </row>
    <row r="76" spans="1:12" s="52" customFormat="1" ht="22.05" customHeight="1" x14ac:dyDescent="0.3">
      <c r="A76"/>
      <c r="B76" s="88" t="s">
        <v>1548</v>
      </c>
      <c r="C76" s="94" t="s">
        <v>17</v>
      </c>
      <c r="D76" s="89"/>
      <c r="E76" s="39" t="str">
        <f t="shared" si="2"/>
        <v>SVT + Physique-Chimie ou SVT + Maths</v>
      </c>
      <c r="F76" s="40"/>
      <c r="G76" s="41" t="s">
        <v>1549</v>
      </c>
      <c r="H76" s="44" t="s">
        <v>1550</v>
      </c>
      <c r="I76" s="44" t="str">
        <f t="shared" si="3"/>
        <v>SVT+PC | SVT+Maths</v>
      </c>
      <c r="J76" s="44"/>
      <c r="K76" s="100" t="s">
        <v>71</v>
      </c>
      <c r="L76"/>
    </row>
    <row r="77" spans="1:12" s="52" customFormat="1" ht="22.05" customHeight="1" x14ac:dyDescent="0.3">
      <c r="A77"/>
      <c r="B77" s="88" t="s">
        <v>1565</v>
      </c>
      <c r="C77" s="94" t="s">
        <v>17</v>
      </c>
      <c r="D77" s="89"/>
      <c r="E77" s="39" t="str">
        <f t="shared" si="2"/>
        <v>SVT + Physique-Chimie ou SVT + Maths</v>
      </c>
      <c r="F77" s="40"/>
      <c r="G77" s="41" t="s">
        <v>1566</v>
      </c>
      <c r="H77" s="44" t="s">
        <v>1567</v>
      </c>
      <c r="I77" s="44" t="str">
        <f t="shared" si="3"/>
        <v>SVT+PC | SVT+Maths</v>
      </c>
      <c r="J77" s="44"/>
      <c r="K77" s="100" t="s">
        <v>71</v>
      </c>
      <c r="L77"/>
    </row>
    <row r="78" spans="1:12" s="52" customFormat="1" ht="22.05" customHeight="1" x14ac:dyDescent="0.3">
      <c r="A78"/>
      <c r="B78" s="88" t="s">
        <v>1568</v>
      </c>
      <c r="C78" s="92" t="s">
        <v>17</v>
      </c>
      <c r="D78" s="89"/>
      <c r="E78" s="39" t="str">
        <f t="shared" si="2"/>
        <v>SVT + Physique-Chimie ou SVT + Maths</v>
      </c>
      <c r="F78" s="40"/>
      <c r="G78" s="41" t="s">
        <v>1569</v>
      </c>
      <c r="H78" s="44" t="s">
        <v>1570</v>
      </c>
      <c r="I78" s="44" t="str">
        <f t="shared" si="3"/>
        <v>SVT+PC | SVT+Maths</v>
      </c>
      <c r="J78" s="44"/>
      <c r="K78" s="100" t="s">
        <v>19</v>
      </c>
      <c r="L78"/>
    </row>
    <row r="79" spans="1:12" s="52" customFormat="1" ht="22.05" customHeight="1" x14ac:dyDescent="0.3">
      <c r="B79" s="36" t="s">
        <v>275</v>
      </c>
      <c r="C79" s="91" t="s">
        <v>17</v>
      </c>
      <c r="D79" s="38"/>
      <c r="E79" s="39" t="s">
        <v>13</v>
      </c>
      <c r="F79" s="40"/>
      <c r="G79" s="41" t="s">
        <v>276</v>
      </c>
      <c r="H79" s="44"/>
      <c r="I79" s="44" t="s">
        <v>15</v>
      </c>
      <c r="J79" s="44"/>
      <c r="K79" t="s">
        <v>19</v>
      </c>
    </row>
    <row r="80" spans="1:12" s="52" customFormat="1" ht="22.05" customHeight="1" x14ac:dyDescent="0.3">
      <c r="B80" s="36" t="s">
        <v>277</v>
      </c>
      <c r="C80" s="37" t="s">
        <v>17</v>
      </c>
      <c r="D80" s="38"/>
      <c r="E80" s="39" t="s">
        <v>13</v>
      </c>
      <c r="F80" s="40"/>
      <c r="G80" s="41" t="s">
        <v>278</v>
      </c>
      <c r="H80" s="44"/>
      <c r="I80" s="44" t="s">
        <v>15</v>
      </c>
      <c r="J80" s="44"/>
      <c r="K80" t="s">
        <v>23</v>
      </c>
    </row>
    <row r="81" spans="1:12" ht="6" customHeight="1" x14ac:dyDescent="0.3">
      <c r="B81" s="36" t="s">
        <v>279</v>
      </c>
      <c r="C81" s="68" t="s">
        <v>17</v>
      </c>
      <c r="D81" s="38"/>
      <c r="E81" s="39" t="s">
        <v>13</v>
      </c>
      <c r="F81" s="40"/>
      <c r="G81" s="41" t="s">
        <v>280</v>
      </c>
      <c r="H81" s="44"/>
      <c r="I81" s="44" t="s">
        <v>15</v>
      </c>
      <c r="J81" s="44"/>
      <c r="K81" t="s">
        <v>19</v>
      </c>
    </row>
    <row r="82" spans="1:12" ht="25.95" customHeight="1" x14ac:dyDescent="0.3">
      <c r="B82" s="36" t="s">
        <v>281</v>
      </c>
      <c r="C82" s="77" t="s">
        <v>17</v>
      </c>
      <c r="D82" s="38"/>
      <c r="E82" s="39" t="s">
        <v>13</v>
      </c>
      <c r="F82" s="40"/>
      <c r="G82" s="41" t="s">
        <v>282</v>
      </c>
      <c r="H82" s="44"/>
      <c r="I82" s="44" t="s">
        <v>15</v>
      </c>
      <c r="J82" s="44"/>
      <c r="K82" t="s">
        <v>19</v>
      </c>
    </row>
    <row r="83" spans="1:12" s="52" customFormat="1" ht="22.05" customHeight="1" x14ac:dyDescent="0.3">
      <c r="A83"/>
      <c r="B83" s="88" t="s">
        <v>1571</v>
      </c>
      <c r="C83" s="61" t="s">
        <v>17</v>
      </c>
      <c r="D83" s="89"/>
      <c r="E83" s="39" t="str">
        <f t="shared" ref="E83:E91" si="4">E$67</f>
        <v>SVT + Physique-Chimie ou SVT + Maths</v>
      </c>
      <c r="F83" s="40"/>
      <c r="G83" s="41" t="s">
        <v>1572</v>
      </c>
      <c r="H83" s="44" t="s">
        <v>1573</v>
      </c>
      <c r="I83" s="44" t="str">
        <f t="shared" ref="I83:I91" si="5">I$67</f>
        <v>SVT+PC | SVT+Maths</v>
      </c>
      <c r="J83" s="44"/>
      <c r="K83" s="100" t="s">
        <v>71</v>
      </c>
      <c r="L83"/>
    </row>
    <row r="84" spans="1:12" s="52" customFormat="1" ht="22.05" customHeight="1" x14ac:dyDescent="0.3">
      <c r="A84"/>
      <c r="B84" s="88" t="s">
        <v>1585</v>
      </c>
      <c r="C84" s="61" t="s">
        <v>17</v>
      </c>
      <c r="D84" s="89"/>
      <c r="E84" s="39" t="str">
        <f t="shared" si="4"/>
        <v>SVT + Physique-Chimie ou SVT + Maths</v>
      </c>
      <c r="F84" s="40"/>
      <c r="G84" s="41" t="s">
        <v>1586</v>
      </c>
      <c r="H84" s="44" t="s">
        <v>1587</v>
      </c>
      <c r="I84" s="44" t="str">
        <f t="shared" si="5"/>
        <v>SVT+PC | SVT+Maths</v>
      </c>
      <c r="J84" s="44"/>
      <c r="K84" s="100" t="s">
        <v>71</v>
      </c>
      <c r="L84"/>
    </row>
    <row r="85" spans="1:12" s="52" customFormat="1" ht="22.05" customHeight="1" x14ac:dyDescent="0.3">
      <c r="A85"/>
      <c r="B85" s="88" t="s">
        <v>1596</v>
      </c>
      <c r="C85" s="61" t="s">
        <v>17</v>
      </c>
      <c r="D85" s="89"/>
      <c r="E85" s="39" t="str">
        <f t="shared" si="4"/>
        <v>SVT + Physique-Chimie ou SVT + Maths</v>
      </c>
      <c r="F85" s="40"/>
      <c r="G85" s="41" t="s">
        <v>1597</v>
      </c>
      <c r="H85" s="44" t="s">
        <v>1598</v>
      </c>
      <c r="I85" s="44" t="str">
        <f t="shared" si="5"/>
        <v>SVT+PC | SVT+Maths</v>
      </c>
      <c r="J85" s="44"/>
      <c r="K85" s="100" t="s">
        <v>71</v>
      </c>
      <c r="L85"/>
    </row>
    <row r="86" spans="1:12" s="52" customFormat="1" ht="22.05" customHeight="1" x14ac:dyDescent="0.3">
      <c r="B86" s="88" t="s">
        <v>1610</v>
      </c>
      <c r="C86" s="162" t="s">
        <v>17</v>
      </c>
      <c r="D86" s="89"/>
      <c r="E86" s="39" t="str">
        <f t="shared" si="4"/>
        <v>SVT + Physique-Chimie ou SVT + Maths</v>
      </c>
      <c r="F86" s="40"/>
      <c r="G86" s="41" t="s">
        <v>1611</v>
      </c>
      <c r="H86" s="44"/>
      <c r="I86" s="44" t="str">
        <f t="shared" si="5"/>
        <v>SVT+PC | SVT+Maths</v>
      </c>
      <c r="J86" s="44"/>
      <c r="K86" s="100" t="s">
        <v>19</v>
      </c>
      <c r="L86"/>
    </row>
    <row r="87" spans="1:12" s="52" customFormat="1" ht="22.05" customHeight="1" x14ac:dyDescent="0.3">
      <c r="B87" s="88" t="s">
        <v>1626</v>
      </c>
      <c r="C87" s="162" t="s">
        <v>17</v>
      </c>
      <c r="D87" s="89"/>
      <c r="E87" s="39" t="str">
        <f t="shared" si="4"/>
        <v>SVT + Physique-Chimie ou SVT + Maths</v>
      </c>
      <c r="F87" s="40"/>
      <c r="G87" s="41" t="s">
        <v>1627</v>
      </c>
      <c r="H87" s="44"/>
      <c r="I87" s="44" t="str">
        <f t="shared" si="5"/>
        <v>SVT+PC | SVT+Maths</v>
      </c>
      <c r="J87" s="44"/>
      <c r="K87" s="100" t="s">
        <v>71</v>
      </c>
      <c r="L87"/>
    </row>
    <row r="88" spans="1:12" s="52" customFormat="1" ht="22.05" customHeight="1" x14ac:dyDescent="0.3">
      <c r="B88" s="88" t="s">
        <v>1628</v>
      </c>
      <c r="C88" s="162" t="s">
        <v>17</v>
      </c>
      <c r="D88" s="89"/>
      <c r="E88" s="39" t="str">
        <f t="shared" si="4"/>
        <v>SVT + Physique-Chimie ou SVT + Maths</v>
      </c>
      <c r="F88" s="40"/>
      <c r="G88" s="41" t="s">
        <v>1629</v>
      </c>
      <c r="H88" s="44"/>
      <c r="I88" s="44" t="str">
        <f t="shared" si="5"/>
        <v>SVT+PC | SVT+Maths</v>
      </c>
      <c r="J88" s="44"/>
      <c r="K88" s="100" t="s">
        <v>71</v>
      </c>
      <c r="L88"/>
    </row>
    <row r="89" spans="1:12" s="52" customFormat="1" ht="22.05" customHeight="1" x14ac:dyDescent="0.3">
      <c r="B89" s="88" t="s">
        <v>1630</v>
      </c>
      <c r="C89" s="162" t="s">
        <v>17</v>
      </c>
      <c r="D89" s="89"/>
      <c r="E89" s="39" t="str">
        <f t="shared" si="4"/>
        <v>SVT + Physique-Chimie ou SVT + Maths</v>
      </c>
      <c r="F89" s="40"/>
      <c r="G89" s="41" t="s">
        <v>1631</v>
      </c>
      <c r="H89" s="44" t="s">
        <v>1632</v>
      </c>
      <c r="I89" s="44" t="str">
        <f t="shared" si="5"/>
        <v>SVT+PC | SVT+Maths</v>
      </c>
      <c r="J89" s="44"/>
      <c r="K89" s="100" t="s">
        <v>71</v>
      </c>
      <c r="L89"/>
    </row>
    <row r="90" spans="1:12" s="52" customFormat="1" ht="22.05" customHeight="1" x14ac:dyDescent="0.3">
      <c r="B90" s="88" t="s">
        <v>1635</v>
      </c>
      <c r="C90" s="162" t="s">
        <v>17</v>
      </c>
      <c r="D90" s="89"/>
      <c r="E90" s="39" t="str">
        <f t="shared" si="4"/>
        <v>SVT + Physique-Chimie ou SVT + Maths</v>
      </c>
      <c r="F90" s="40"/>
      <c r="G90" s="41" t="s">
        <v>1636</v>
      </c>
      <c r="H90" s="44"/>
      <c r="I90" s="44" t="str">
        <f t="shared" si="5"/>
        <v>SVT+PC | SVT+Maths</v>
      </c>
      <c r="J90" s="44"/>
      <c r="K90" s="100" t="s">
        <v>71</v>
      </c>
      <c r="L90"/>
    </row>
    <row r="91" spans="1:12" s="52" customFormat="1" ht="22.05" customHeight="1" x14ac:dyDescent="0.3">
      <c r="B91" s="88" t="s">
        <v>1637</v>
      </c>
      <c r="C91" s="161" t="s">
        <v>17</v>
      </c>
      <c r="D91" s="89"/>
      <c r="E91" s="39" t="str">
        <f t="shared" si="4"/>
        <v>SVT + Physique-Chimie ou SVT + Maths</v>
      </c>
      <c r="F91" s="40"/>
      <c r="G91" s="41" t="s">
        <v>1638</v>
      </c>
      <c r="H91" s="44"/>
      <c r="I91" s="44" t="str">
        <f t="shared" si="5"/>
        <v>SVT+PC | SVT+Maths</v>
      </c>
      <c r="J91" s="44"/>
      <c r="K91" s="100" t="s">
        <v>19</v>
      </c>
      <c r="L91"/>
    </row>
    <row r="92" spans="1:12" ht="22.05" customHeight="1" x14ac:dyDescent="0.3"/>
    <row r="93" spans="1:12" ht="22.05" customHeight="1" thickBot="1" x14ac:dyDescent="0.35">
      <c r="B93" s="33" t="s">
        <v>283</v>
      </c>
      <c r="C93" s="32"/>
      <c r="D93" s="32"/>
      <c r="E93" s="34" t="s">
        <v>13</v>
      </c>
      <c r="F93" s="35"/>
      <c r="G93" s="32"/>
      <c r="H93" s="43" t="s">
        <v>266</v>
      </c>
      <c r="I93" s="43" t="s">
        <v>15</v>
      </c>
      <c r="J93" s="43"/>
    </row>
    <row r="94" spans="1:12" ht="22.05" customHeight="1" x14ac:dyDescent="0.3">
      <c r="B94" s="36" t="s">
        <v>182</v>
      </c>
      <c r="C94" s="37" t="s">
        <v>17</v>
      </c>
      <c r="D94" s="42" t="s">
        <v>17</v>
      </c>
      <c r="E94" s="39" t="s">
        <v>13</v>
      </c>
      <c r="F94" s="40"/>
      <c r="G94" s="41" t="s">
        <v>183</v>
      </c>
      <c r="H94" s="44"/>
      <c r="I94" s="44" t="s">
        <v>15</v>
      </c>
      <c r="J94" s="44"/>
      <c r="K94" t="s">
        <v>19</v>
      </c>
    </row>
    <row r="95" spans="1:12" ht="22.05" customHeight="1" x14ac:dyDescent="0.3">
      <c r="B95" s="36" t="s">
        <v>284</v>
      </c>
      <c r="C95" s="37" t="s">
        <v>17</v>
      </c>
      <c r="D95" s="38"/>
      <c r="E95" s="39" t="s">
        <v>13</v>
      </c>
      <c r="F95" s="40"/>
      <c r="G95" s="41" t="s">
        <v>285</v>
      </c>
      <c r="H95" s="44"/>
      <c r="I95" s="44" t="s">
        <v>15</v>
      </c>
      <c r="J95" s="44"/>
      <c r="K95" s="87" t="s">
        <v>19</v>
      </c>
      <c r="L95" s="87"/>
    </row>
    <row r="96" spans="1:12" s="52" customFormat="1" ht="22.05" customHeight="1" x14ac:dyDescent="0.3">
      <c r="B96" s="36" t="s">
        <v>286</v>
      </c>
      <c r="C96" s="37" t="s">
        <v>17</v>
      </c>
      <c r="D96" s="38"/>
      <c r="E96" s="39" t="s">
        <v>13</v>
      </c>
      <c r="F96" s="40"/>
      <c r="G96" s="41" t="s">
        <v>287</v>
      </c>
      <c r="H96" s="44"/>
      <c r="I96" s="44" t="s">
        <v>15</v>
      </c>
      <c r="J96" s="44"/>
      <c r="K96" t="s">
        <v>19</v>
      </c>
    </row>
    <row r="97" spans="1:12" s="52" customFormat="1" ht="22.05" customHeight="1" x14ac:dyDescent="0.3">
      <c r="B97" s="36" t="s">
        <v>140</v>
      </c>
      <c r="C97" s="37" t="s">
        <v>17</v>
      </c>
      <c r="D97" s="38"/>
      <c r="E97" s="39" t="s">
        <v>13</v>
      </c>
      <c r="F97" s="40"/>
      <c r="G97" s="41" t="s">
        <v>141</v>
      </c>
      <c r="H97" s="44"/>
      <c r="I97" s="44" t="s">
        <v>15</v>
      </c>
      <c r="J97" s="44"/>
      <c r="K97" t="s">
        <v>19</v>
      </c>
    </row>
    <row r="98" spans="1:12" ht="6" customHeight="1" x14ac:dyDescent="0.3">
      <c r="B98" s="36" t="s">
        <v>281</v>
      </c>
      <c r="C98" s="77" t="s">
        <v>17</v>
      </c>
      <c r="D98" s="38"/>
      <c r="E98" s="39" t="s">
        <v>13</v>
      </c>
      <c r="F98" s="40"/>
      <c r="G98" s="41" t="s">
        <v>282</v>
      </c>
      <c r="H98" s="44"/>
      <c r="I98" s="44" t="s">
        <v>15</v>
      </c>
      <c r="J98" s="44"/>
      <c r="K98" t="s">
        <v>19</v>
      </c>
    </row>
    <row r="99" spans="1:12" ht="25.95" customHeight="1" x14ac:dyDescent="0.3">
      <c r="B99" s="36" t="s">
        <v>106</v>
      </c>
      <c r="C99" s="90" t="s">
        <v>17</v>
      </c>
      <c r="D99" s="38"/>
      <c r="E99" s="39" t="s">
        <v>13</v>
      </c>
      <c r="F99" s="40"/>
      <c r="G99" s="41" t="s">
        <v>107</v>
      </c>
      <c r="H99" s="44"/>
      <c r="I99" s="44" t="s">
        <v>15</v>
      </c>
      <c r="J99" s="44"/>
      <c r="K99" t="s">
        <v>19</v>
      </c>
    </row>
    <row r="100" spans="1:12" s="52" customFormat="1" ht="25.95" customHeight="1" x14ac:dyDescent="0.3">
      <c r="A100"/>
      <c r="B100" s="88" t="s">
        <v>1513</v>
      </c>
      <c r="C100" s="94" t="s">
        <v>17</v>
      </c>
      <c r="D100" s="89"/>
      <c r="E100" s="39" t="str">
        <f t="shared" ref="E100:E106" si="6">E$93</f>
        <v>SVT + Physique-Chimie ou SVT + Maths</v>
      </c>
      <c r="F100" s="40"/>
      <c r="G100" s="41" t="s">
        <v>1514</v>
      </c>
      <c r="H100" s="44" t="s">
        <v>1515</v>
      </c>
      <c r="I100" s="44" t="str">
        <f t="shared" ref="I100:I106" si="7">I$93</f>
        <v>SVT+PC | SVT+Maths</v>
      </c>
      <c r="J100" s="44"/>
      <c r="K100" s="100" t="s">
        <v>71</v>
      </c>
      <c r="L100"/>
    </row>
    <row r="101" spans="1:12" s="52" customFormat="1" ht="25.95" customHeight="1" x14ac:dyDescent="0.3">
      <c r="A101"/>
      <c r="B101" s="88" t="s">
        <v>1516</v>
      </c>
      <c r="C101" s="94" t="s">
        <v>17</v>
      </c>
      <c r="D101" s="89"/>
      <c r="E101" s="39" t="str">
        <f t="shared" si="6"/>
        <v>SVT + Physique-Chimie ou SVT + Maths</v>
      </c>
      <c r="F101" s="40"/>
      <c r="G101" s="41" t="s">
        <v>1517</v>
      </c>
      <c r="H101" s="44" t="s">
        <v>1518</v>
      </c>
      <c r="I101" s="44" t="str">
        <f t="shared" si="7"/>
        <v>SVT+PC | SVT+Maths</v>
      </c>
      <c r="J101" s="44"/>
      <c r="K101" s="100" t="s">
        <v>71</v>
      </c>
      <c r="L101"/>
    </row>
    <row r="102" spans="1:12" s="52" customFormat="1" ht="25.95" customHeight="1" x14ac:dyDescent="0.3">
      <c r="A102"/>
      <c r="B102" s="88" t="s">
        <v>1528</v>
      </c>
      <c r="C102" s="94" t="s">
        <v>17</v>
      </c>
      <c r="D102" s="89"/>
      <c r="E102" s="39" t="str">
        <f t="shared" si="6"/>
        <v>SVT + Physique-Chimie ou SVT + Maths</v>
      </c>
      <c r="F102" s="40"/>
      <c r="G102" s="41" t="s">
        <v>1529</v>
      </c>
      <c r="H102" s="44" t="s">
        <v>1530</v>
      </c>
      <c r="I102" s="44" t="str">
        <f t="shared" si="7"/>
        <v>SVT+PC | SVT+Maths</v>
      </c>
      <c r="J102" s="44"/>
      <c r="K102" s="100" t="s">
        <v>71</v>
      </c>
      <c r="L102"/>
    </row>
    <row r="103" spans="1:12" s="52" customFormat="1" ht="25.95" customHeight="1" x14ac:dyDescent="0.3">
      <c r="A103"/>
      <c r="B103" s="88" t="s">
        <v>1542</v>
      </c>
      <c r="C103" s="94" t="s">
        <v>17</v>
      </c>
      <c r="D103" s="89"/>
      <c r="E103" s="39" t="str">
        <f t="shared" si="6"/>
        <v>SVT + Physique-Chimie ou SVT + Maths</v>
      </c>
      <c r="F103" s="40"/>
      <c r="G103" s="41" t="s">
        <v>1543</v>
      </c>
      <c r="H103" s="44" t="s">
        <v>1544</v>
      </c>
      <c r="I103" s="44" t="str">
        <f t="shared" si="7"/>
        <v>SVT+PC | SVT+Maths</v>
      </c>
      <c r="J103" s="44"/>
      <c r="K103" s="100" t="s">
        <v>71</v>
      </c>
      <c r="L103"/>
    </row>
    <row r="104" spans="1:12" s="52" customFormat="1" ht="25.95" customHeight="1" x14ac:dyDescent="0.3">
      <c r="B104" s="88" t="s">
        <v>1608</v>
      </c>
      <c r="C104" s="162" t="s">
        <v>17</v>
      </c>
      <c r="D104" s="89"/>
      <c r="E104" s="39" t="str">
        <f t="shared" si="6"/>
        <v>SVT + Physique-Chimie ou SVT + Maths</v>
      </c>
      <c r="F104" s="40"/>
      <c r="G104" s="41" t="s">
        <v>1609</v>
      </c>
      <c r="H104" s="44" t="s">
        <v>71</v>
      </c>
      <c r="I104" s="44" t="str">
        <f t="shared" si="7"/>
        <v>SVT+PC | SVT+Maths</v>
      </c>
      <c r="J104" s="44"/>
      <c r="K104" s="100" t="s">
        <v>71</v>
      </c>
      <c r="L104"/>
    </row>
    <row r="105" spans="1:12" s="52" customFormat="1" ht="25.95" customHeight="1" x14ac:dyDescent="0.3">
      <c r="B105" s="88" t="s">
        <v>1610</v>
      </c>
      <c r="C105" s="162" t="s">
        <v>17</v>
      </c>
      <c r="D105" s="89"/>
      <c r="E105" s="39" t="str">
        <f t="shared" si="6"/>
        <v>SVT + Physique-Chimie ou SVT + Maths</v>
      </c>
      <c r="F105" s="40"/>
      <c r="G105" s="41" t="s">
        <v>1611</v>
      </c>
      <c r="H105" s="44"/>
      <c r="I105" s="44" t="str">
        <f t="shared" si="7"/>
        <v>SVT+PC | SVT+Maths</v>
      </c>
      <c r="J105" s="44"/>
      <c r="K105" s="100" t="s">
        <v>19</v>
      </c>
      <c r="L105"/>
    </row>
    <row r="106" spans="1:12" s="52" customFormat="1" ht="25.95" customHeight="1" x14ac:dyDescent="0.3">
      <c r="B106" s="88" t="s">
        <v>1614</v>
      </c>
      <c r="C106" s="161" t="s">
        <v>17</v>
      </c>
      <c r="D106" s="89"/>
      <c r="E106" s="39" t="str">
        <f t="shared" si="6"/>
        <v>SVT + Physique-Chimie ou SVT + Maths</v>
      </c>
      <c r="F106" s="40"/>
      <c r="G106" s="41" t="s">
        <v>1615</v>
      </c>
      <c r="H106" s="44" t="s">
        <v>1616</v>
      </c>
      <c r="I106" s="44" t="str">
        <f t="shared" si="7"/>
        <v>SVT+PC | SVT+Maths</v>
      </c>
      <c r="J106" s="44"/>
      <c r="K106" s="100" t="s">
        <v>71</v>
      </c>
      <c r="L106"/>
    </row>
    <row r="107" spans="1:12" ht="22.05" customHeight="1" x14ac:dyDescent="0.3"/>
    <row r="108" spans="1:12" s="52" customFormat="1" ht="22.05" customHeight="1" thickBot="1" x14ac:dyDescent="0.35">
      <c r="B108" s="33" t="s">
        <v>288</v>
      </c>
      <c r="C108" s="32"/>
      <c r="D108" s="32"/>
      <c r="E108" s="34" t="s">
        <v>13</v>
      </c>
      <c r="F108" s="35"/>
      <c r="G108" s="32"/>
      <c r="H108" s="43" t="s">
        <v>289</v>
      </c>
      <c r="I108" s="43" t="s">
        <v>15</v>
      </c>
      <c r="J108" s="43"/>
    </row>
    <row r="109" spans="1:12" s="52" customFormat="1" ht="22.05" customHeight="1" x14ac:dyDescent="0.3">
      <c r="B109" s="36" t="s">
        <v>290</v>
      </c>
      <c r="C109" s="37" t="s">
        <v>17</v>
      </c>
      <c r="D109" s="38"/>
      <c r="E109" s="39" t="s">
        <v>13</v>
      </c>
      <c r="F109" s="40"/>
      <c r="G109" s="41" t="s">
        <v>291</v>
      </c>
      <c r="H109" s="44"/>
      <c r="I109" s="44" t="s">
        <v>15</v>
      </c>
      <c r="J109" s="44"/>
      <c r="K109" s="87" t="s">
        <v>19</v>
      </c>
      <c r="L109" s="87"/>
    </row>
    <row r="110" spans="1:12" s="52" customFormat="1" ht="22.05" customHeight="1" x14ac:dyDescent="0.3">
      <c r="B110" s="36" t="s">
        <v>292</v>
      </c>
      <c r="C110" s="60" t="s">
        <v>17</v>
      </c>
      <c r="D110" s="38"/>
      <c r="E110" s="39" t="s">
        <v>13</v>
      </c>
      <c r="F110" s="40"/>
      <c r="G110" s="41" t="s">
        <v>293</v>
      </c>
      <c r="H110" s="44"/>
      <c r="I110" s="44" t="s">
        <v>15</v>
      </c>
      <c r="J110" s="44"/>
      <c r="K110" s="87" t="s">
        <v>19</v>
      </c>
      <c r="L110" s="87"/>
    </row>
    <row r="111" spans="1:12" ht="6" customHeight="1" x14ac:dyDescent="0.3">
      <c r="B111" s="36" t="s">
        <v>294</v>
      </c>
      <c r="C111" s="134" t="s">
        <v>17</v>
      </c>
      <c r="D111" s="38"/>
      <c r="E111" s="39" t="str">
        <f>E$108</f>
        <v>SVT + Physique-Chimie ou SVT + Maths</v>
      </c>
      <c r="F111" s="40"/>
      <c r="G111" s="41" t="s">
        <v>295</v>
      </c>
      <c r="H111" s="44"/>
      <c r="I111" s="44" t="str">
        <f>I$108</f>
        <v>SVT+PC | SVT+Maths</v>
      </c>
      <c r="J111" s="44"/>
      <c r="K111" t="s">
        <v>19</v>
      </c>
    </row>
    <row r="112" spans="1:12" s="52" customFormat="1" ht="6" customHeight="1" x14ac:dyDescent="0.3">
      <c r="A112"/>
      <c r="B112" s="88" t="s">
        <v>1562</v>
      </c>
      <c r="C112" s="92" t="s">
        <v>17</v>
      </c>
      <c r="D112" s="89"/>
      <c r="E112" s="39" t="str">
        <f>E$108</f>
        <v>SVT + Physique-Chimie ou SVT + Maths</v>
      </c>
      <c r="F112" s="40"/>
      <c r="G112" s="41" t="s">
        <v>1563</v>
      </c>
      <c r="H112" s="44" t="s">
        <v>1564</v>
      </c>
      <c r="I112" s="44" t="str">
        <f>I$108</f>
        <v>SVT+PC | SVT+Maths</v>
      </c>
      <c r="J112" s="44"/>
      <c r="K112" s="100" t="s">
        <v>19</v>
      </c>
      <c r="L112"/>
    </row>
    <row r="113" spans="1:12" ht="25.95" customHeight="1" x14ac:dyDescent="0.3">
      <c r="B113" s="36" t="s">
        <v>296</v>
      </c>
      <c r="C113" s="129" t="s">
        <v>17</v>
      </c>
      <c r="D113" s="38"/>
      <c r="E113" s="39" t="s">
        <v>13</v>
      </c>
      <c r="F113" s="40"/>
      <c r="G113" s="41" t="s">
        <v>297</v>
      </c>
      <c r="H113" s="44"/>
      <c r="I113" s="44" t="s">
        <v>15</v>
      </c>
      <c r="J113" s="44"/>
      <c r="K113" t="s">
        <v>23</v>
      </c>
    </row>
    <row r="114" spans="1:12" ht="22.05" customHeight="1" x14ac:dyDescent="0.3">
      <c r="B114" s="36" t="s">
        <v>298</v>
      </c>
      <c r="C114" s="77" t="s">
        <v>17</v>
      </c>
      <c r="D114" s="38"/>
      <c r="E114" s="39" t="s">
        <v>13</v>
      </c>
      <c r="F114" s="40"/>
      <c r="G114" s="41" t="s">
        <v>299</v>
      </c>
      <c r="H114" s="44"/>
      <c r="I114" s="44" t="s">
        <v>15</v>
      </c>
      <c r="J114" s="44"/>
      <c r="K114" s="87" t="s">
        <v>19</v>
      </c>
      <c r="L114" s="87"/>
    </row>
    <row r="115" spans="1:12" s="52" customFormat="1" ht="22.05" customHeight="1" x14ac:dyDescent="0.3">
      <c r="A115"/>
      <c r="B115" s="88" t="s">
        <v>1602</v>
      </c>
      <c r="C115" s="61" t="s">
        <v>17</v>
      </c>
      <c r="D115" s="89"/>
      <c r="E115" s="39" t="str">
        <f>E$108</f>
        <v>SVT + Physique-Chimie ou SVT + Maths</v>
      </c>
      <c r="F115" s="40"/>
      <c r="G115" s="41" t="s">
        <v>1603</v>
      </c>
      <c r="H115" s="44" t="s">
        <v>1604</v>
      </c>
      <c r="I115" s="44" t="str">
        <f>I$108</f>
        <v>SVT+PC | SVT+Maths</v>
      </c>
      <c r="J115" s="44"/>
      <c r="K115" s="100" t="s">
        <v>71</v>
      </c>
      <c r="L115"/>
    </row>
    <row r="116" spans="1:12" s="52" customFormat="1" ht="22.05" customHeight="1" x14ac:dyDescent="0.3">
      <c r="A116"/>
      <c r="B116" s="88" t="s">
        <v>1605</v>
      </c>
      <c r="C116" s="61" t="s">
        <v>17</v>
      </c>
      <c r="D116" s="89"/>
      <c r="E116" s="39" t="str">
        <f>E$108</f>
        <v>SVT + Physique-Chimie ou SVT + Maths</v>
      </c>
      <c r="F116" s="40"/>
      <c r="G116" s="41" t="s">
        <v>1606</v>
      </c>
      <c r="H116" s="44" t="s">
        <v>1607</v>
      </c>
      <c r="I116" s="44" t="str">
        <f>I$108</f>
        <v>SVT+PC | SVT+Maths</v>
      </c>
      <c r="J116" s="44"/>
      <c r="K116" s="100" t="s">
        <v>71</v>
      </c>
      <c r="L116"/>
    </row>
    <row r="117" spans="1:12" ht="22.05" customHeight="1" x14ac:dyDescent="0.3"/>
    <row r="118" spans="1:12" ht="22.05" customHeight="1" thickBot="1" x14ac:dyDescent="0.35">
      <c r="B118" s="33" t="s">
        <v>300</v>
      </c>
      <c r="C118" s="32"/>
      <c r="D118" s="32"/>
      <c r="E118" s="34" t="s">
        <v>13</v>
      </c>
      <c r="F118" s="35"/>
      <c r="G118" s="32"/>
      <c r="H118" s="43" t="s">
        <v>301</v>
      </c>
      <c r="I118" s="43" t="s">
        <v>15</v>
      </c>
      <c r="J118" s="43"/>
    </row>
    <row r="119" spans="1:12" ht="22.05" customHeight="1" x14ac:dyDescent="0.3">
      <c r="B119" s="36" t="s">
        <v>302</v>
      </c>
      <c r="C119" s="37" t="s">
        <v>17</v>
      </c>
      <c r="D119" s="38"/>
      <c r="E119" s="39" t="s">
        <v>13</v>
      </c>
      <c r="F119" s="40"/>
      <c r="G119" s="41" t="s">
        <v>303</v>
      </c>
      <c r="H119" s="44"/>
      <c r="I119" s="44" t="s">
        <v>15</v>
      </c>
      <c r="J119" s="44"/>
      <c r="K119" t="s">
        <v>19</v>
      </c>
    </row>
    <row r="120" spans="1:12" ht="22.05" customHeight="1" x14ac:dyDescent="0.3">
      <c r="B120" s="36" t="s">
        <v>304</v>
      </c>
      <c r="C120" s="37" t="s">
        <v>17</v>
      </c>
      <c r="D120" s="38"/>
      <c r="E120" s="39" t="s">
        <v>13</v>
      </c>
      <c r="F120" s="40"/>
      <c r="G120" s="41" t="s">
        <v>305</v>
      </c>
      <c r="H120" s="44"/>
      <c r="I120" s="44" t="s">
        <v>15</v>
      </c>
      <c r="J120" s="44"/>
      <c r="K120" t="s">
        <v>19</v>
      </c>
    </row>
    <row r="121" spans="1:12" ht="22.05" customHeight="1" x14ac:dyDescent="0.3">
      <c r="B121" s="36" t="s">
        <v>306</v>
      </c>
      <c r="C121" s="37" t="s">
        <v>17</v>
      </c>
      <c r="D121" s="38"/>
      <c r="E121" s="39" t="s">
        <v>13</v>
      </c>
      <c r="F121" s="40"/>
      <c r="G121" s="41" t="s">
        <v>307</v>
      </c>
      <c r="H121" s="44"/>
      <c r="I121" s="44" t="s">
        <v>15</v>
      </c>
      <c r="J121" s="44"/>
      <c r="K121" t="s">
        <v>19</v>
      </c>
    </row>
    <row r="122" spans="1:12" s="52" customFormat="1" ht="22.05" customHeight="1" x14ac:dyDescent="0.3">
      <c r="B122" s="36" t="s">
        <v>308</v>
      </c>
      <c r="C122" s="37" t="s">
        <v>17</v>
      </c>
      <c r="D122" s="38"/>
      <c r="E122" s="39" t="s">
        <v>13</v>
      </c>
      <c r="F122" s="40"/>
      <c r="G122" s="41" t="s">
        <v>309</v>
      </c>
      <c r="H122" s="44"/>
      <c r="I122" s="44" t="s">
        <v>15</v>
      </c>
      <c r="J122" s="44"/>
      <c r="K122" s="87" t="s">
        <v>19</v>
      </c>
      <c r="L122" s="87"/>
    </row>
    <row r="123" spans="1:12" s="52" customFormat="1" ht="22.05" customHeight="1" x14ac:dyDescent="0.3">
      <c r="B123" s="36" t="s">
        <v>310</v>
      </c>
      <c r="C123" s="37" t="s">
        <v>17</v>
      </c>
      <c r="D123" s="38"/>
      <c r="E123" s="39" t="s">
        <v>13</v>
      </c>
      <c r="F123" s="40"/>
      <c r="G123" s="41" t="s">
        <v>311</v>
      </c>
      <c r="H123" s="44"/>
      <c r="I123" s="44" t="s">
        <v>15</v>
      </c>
      <c r="J123" s="44"/>
      <c r="K123" t="s">
        <v>19</v>
      </c>
    </row>
    <row r="124" spans="1:12" s="52" customFormat="1" ht="22.05" customHeight="1" x14ac:dyDescent="0.3">
      <c r="B124" s="36" t="s">
        <v>312</v>
      </c>
      <c r="C124" s="37" t="s">
        <v>17</v>
      </c>
      <c r="D124" s="38"/>
      <c r="E124" s="39" t="s">
        <v>13</v>
      </c>
      <c r="F124" s="40"/>
      <c r="G124" s="41" t="s">
        <v>313</v>
      </c>
      <c r="H124" s="44"/>
      <c r="I124" s="44" t="s">
        <v>15</v>
      </c>
      <c r="J124" s="44"/>
      <c r="K124" t="s">
        <v>23</v>
      </c>
    </row>
    <row r="125" spans="1:12" s="52" customFormat="1" ht="22.05" customHeight="1" x14ac:dyDescent="0.3">
      <c r="B125" s="36" t="s">
        <v>314</v>
      </c>
      <c r="C125" s="60" t="s">
        <v>17</v>
      </c>
      <c r="D125" s="38"/>
      <c r="E125" s="39" t="s">
        <v>13</v>
      </c>
      <c r="F125" s="40"/>
      <c r="G125" s="41" t="s">
        <v>315</v>
      </c>
      <c r="H125" s="44"/>
      <c r="I125" s="44" t="s">
        <v>15</v>
      </c>
      <c r="J125" s="44"/>
      <c r="K125" t="s">
        <v>19</v>
      </c>
    </row>
    <row r="126" spans="1:12" s="52" customFormat="1" ht="22.05" customHeight="1" x14ac:dyDescent="0.3">
      <c r="B126" s="36" t="s">
        <v>316</v>
      </c>
      <c r="C126" s="60" t="s">
        <v>17</v>
      </c>
      <c r="D126" s="38"/>
      <c r="E126" s="39" t="s">
        <v>13</v>
      </c>
      <c r="F126" s="40"/>
      <c r="G126" s="41" t="s">
        <v>317</v>
      </c>
      <c r="H126" s="44"/>
      <c r="I126" s="44" t="s">
        <v>15</v>
      </c>
      <c r="J126" s="44"/>
      <c r="K126" t="s">
        <v>19</v>
      </c>
    </row>
    <row r="127" spans="1:12" s="52" customFormat="1" ht="22.05" customHeight="1" x14ac:dyDescent="0.3">
      <c r="B127" s="36" t="s">
        <v>296</v>
      </c>
      <c r="C127" s="60" t="s">
        <v>17</v>
      </c>
      <c r="D127" s="38"/>
      <c r="E127" s="39" t="s">
        <v>13</v>
      </c>
      <c r="F127" s="40"/>
      <c r="G127" s="41" t="s">
        <v>297</v>
      </c>
      <c r="H127" s="44"/>
      <c r="I127" s="44" t="s">
        <v>15</v>
      </c>
      <c r="J127" s="44"/>
      <c r="K127" t="s">
        <v>23</v>
      </c>
    </row>
    <row r="128" spans="1:12" s="52" customFormat="1" ht="22.05" customHeight="1" x14ac:dyDescent="0.3">
      <c r="B128" s="36" t="s">
        <v>318</v>
      </c>
      <c r="C128" s="54" t="s">
        <v>17</v>
      </c>
      <c r="D128" s="38"/>
      <c r="E128" s="39" t="str">
        <f>E118</f>
        <v>SVT + Physique-Chimie ou SVT + Maths</v>
      </c>
      <c r="F128" s="40"/>
      <c r="G128" s="41" t="s">
        <v>319</v>
      </c>
      <c r="H128" s="44"/>
      <c r="I128" s="44" t="str">
        <f>I118</f>
        <v>SVT+PC | SVT+Maths</v>
      </c>
      <c r="J128" s="44"/>
      <c r="K128" t="s">
        <v>19</v>
      </c>
    </row>
    <row r="129" spans="1:12" s="52" customFormat="1" ht="22.05" customHeight="1" x14ac:dyDescent="0.3">
      <c r="B129" s="36" t="s">
        <v>320</v>
      </c>
      <c r="C129" s="68" t="s">
        <v>17</v>
      </c>
      <c r="D129" s="38"/>
      <c r="E129" s="39" t="str">
        <f t="shared" ref="E129:E140" si="8">E$118</f>
        <v>SVT + Physique-Chimie ou SVT + Maths</v>
      </c>
      <c r="F129" s="40"/>
      <c r="G129" s="41" t="s">
        <v>321</v>
      </c>
      <c r="H129" s="44"/>
      <c r="I129" s="44" t="str">
        <f t="shared" ref="I129:I140" si="9">I$118</f>
        <v>SVT+PC | SVT+Maths</v>
      </c>
      <c r="J129" s="44"/>
      <c r="K129" t="s">
        <v>19</v>
      </c>
    </row>
    <row r="130" spans="1:12" s="52" customFormat="1" ht="22.05" customHeight="1" x14ac:dyDescent="0.3">
      <c r="B130" s="36" t="s">
        <v>322</v>
      </c>
      <c r="C130" s="68" t="s">
        <v>17</v>
      </c>
      <c r="D130" s="38"/>
      <c r="E130" s="39" t="str">
        <f t="shared" si="8"/>
        <v>SVT + Physique-Chimie ou SVT + Maths</v>
      </c>
      <c r="F130" s="40"/>
      <c r="G130" s="41" t="s">
        <v>323</v>
      </c>
      <c r="H130" s="44"/>
      <c r="I130" s="44" t="str">
        <f t="shared" si="9"/>
        <v>SVT+PC | SVT+Maths</v>
      </c>
      <c r="J130" s="44"/>
      <c r="K130" t="s">
        <v>19</v>
      </c>
    </row>
    <row r="131" spans="1:12" s="52" customFormat="1" ht="22.05" customHeight="1" x14ac:dyDescent="0.3">
      <c r="B131" s="36" t="s">
        <v>324</v>
      </c>
      <c r="C131" s="68" t="s">
        <v>17</v>
      </c>
      <c r="D131" s="38"/>
      <c r="E131" s="39" t="str">
        <f t="shared" si="8"/>
        <v>SVT + Physique-Chimie ou SVT + Maths</v>
      </c>
      <c r="F131" s="40"/>
      <c r="G131" s="41" t="s">
        <v>325</v>
      </c>
      <c r="H131" s="44"/>
      <c r="I131" s="44" t="str">
        <f t="shared" si="9"/>
        <v>SVT+PC | SVT+Maths</v>
      </c>
      <c r="J131" s="44"/>
      <c r="K131" t="s">
        <v>19</v>
      </c>
    </row>
    <row r="132" spans="1:12" s="52" customFormat="1" ht="22.05" customHeight="1" x14ac:dyDescent="0.3">
      <c r="B132" s="36" t="s">
        <v>326</v>
      </c>
      <c r="C132" s="68" t="s">
        <v>17</v>
      </c>
      <c r="D132" s="38"/>
      <c r="E132" s="39" t="str">
        <f t="shared" si="8"/>
        <v>SVT + Physique-Chimie ou SVT + Maths</v>
      </c>
      <c r="F132" s="40"/>
      <c r="G132" s="41" t="s">
        <v>327</v>
      </c>
      <c r="H132" s="44"/>
      <c r="I132" s="44" t="str">
        <f t="shared" si="9"/>
        <v>SVT+PC | SVT+Maths</v>
      </c>
      <c r="J132" s="44"/>
      <c r="K132" t="s">
        <v>19</v>
      </c>
    </row>
    <row r="133" spans="1:12" s="52" customFormat="1" ht="22.05" customHeight="1" x14ac:dyDescent="0.3">
      <c r="B133" s="36" t="s">
        <v>328</v>
      </c>
      <c r="C133" s="68" t="s">
        <v>17</v>
      </c>
      <c r="D133" s="38"/>
      <c r="E133" s="39" t="str">
        <f t="shared" si="8"/>
        <v>SVT + Physique-Chimie ou SVT + Maths</v>
      </c>
      <c r="F133" s="40"/>
      <c r="G133" s="41" t="s">
        <v>329</v>
      </c>
      <c r="H133" s="44"/>
      <c r="I133" s="44" t="str">
        <f t="shared" si="9"/>
        <v>SVT+PC | SVT+Maths</v>
      </c>
      <c r="J133" s="44"/>
      <c r="K133" t="s">
        <v>19</v>
      </c>
    </row>
    <row r="134" spans="1:12" s="52" customFormat="1" ht="22.05" customHeight="1" x14ac:dyDescent="0.3">
      <c r="B134" s="36" t="s">
        <v>279</v>
      </c>
      <c r="C134" s="68" t="s">
        <v>17</v>
      </c>
      <c r="D134" s="38"/>
      <c r="E134" s="39" t="str">
        <f t="shared" si="8"/>
        <v>SVT + Physique-Chimie ou SVT + Maths</v>
      </c>
      <c r="F134" s="40"/>
      <c r="G134" s="41" t="s">
        <v>280</v>
      </c>
      <c r="H134" s="44"/>
      <c r="I134" s="44" t="str">
        <f t="shared" si="9"/>
        <v>SVT+PC | SVT+Maths</v>
      </c>
      <c r="J134" s="44"/>
      <c r="K134" t="s">
        <v>19</v>
      </c>
    </row>
    <row r="135" spans="1:12" s="52" customFormat="1" ht="22.05" customHeight="1" x14ac:dyDescent="0.3">
      <c r="B135" s="36" t="s">
        <v>330</v>
      </c>
      <c r="C135" s="68" t="s">
        <v>17</v>
      </c>
      <c r="D135" s="38"/>
      <c r="E135" s="39" t="str">
        <f t="shared" si="8"/>
        <v>SVT + Physique-Chimie ou SVT + Maths</v>
      </c>
      <c r="F135" s="40"/>
      <c r="G135" s="41" t="s">
        <v>331</v>
      </c>
      <c r="H135" s="44"/>
      <c r="I135" s="44" t="str">
        <f t="shared" si="9"/>
        <v>SVT+PC | SVT+Maths</v>
      </c>
      <c r="J135" s="44"/>
      <c r="K135" t="s">
        <v>19</v>
      </c>
    </row>
    <row r="136" spans="1:12" s="52" customFormat="1" ht="22.05" customHeight="1" x14ac:dyDescent="0.3">
      <c r="B136" s="36" t="s">
        <v>332</v>
      </c>
      <c r="C136" s="68" t="s">
        <v>17</v>
      </c>
      <c r="D136" s="38"/>
      <c r="E136" s="39" t="str">
        <f t="shared" si="8"/>
        <v>SVT + Physique-Chimie ou SVT + Maths</v>
      </c>
      <c r="F136" s="40"/>
      <c r="G136" s="41" t="s">
        <v>333</v>
      </c>
      <c r="H136" s="44"/>
      <c r="I136" s="44" t="str">
        <f t="shared" si="9"/>
        <v>SVT+PC | SVT+Maths</v>
      </c>
      <c r="J136" s="44"/>
      <c r="K136" t="s">
        <v>19</v>
      </c>
    </row>
    <row r="137" spans="1:12" s="52" customFormat="1" ht="22.05" customHeight="1" x14ac:dyDescent="0.3">
      <c r="B137" s="36" t="s">
        <v>334</v>
      </c>
      <c r="C137" s="68" t="s">
        <v>17</v>
      </c>
      <c r="D137" s="38"/>
      <c r="E137" s="39" t="str">
        <f t="shared" si="8"/>
        <v>SVT + Physique-Chimie ou SVT + Maths</v>
      </c>
      <c r="F137" s="40"/>
      <c r="G137" s="41" t="s">
        <v>335</v>
      </c>
      <c r="H137" s="44"/>
      <c r="I137" s="44" t="str">
        <f t="shared" si="9"/>
        <v>SVT+PC | SVT+Maths</v>
      </c>
      <c r="J137" s="44"/>
      <c r="K137" t="s">
        <v>19</v>
      </c>
    </row>
    <row r="138" spans="1:12" ht="6" customHeight="1" x14ac:dyDescent="0.3">
      <c r="B138" s="36" t="s">
        <v>336</v>
      </c>
      <c r="C138" s="68" t="s">
        <v>17</v>
      </c>
      <c r="D138" s="38"/>
      <c r="E138" s="39" t="str">
        <f t="shared" si="8"/>
        <v>SVT + Physique-Chimie ou SVT + Maths</v>
      </c>
      <c r="F138" s="40"/>
      <c r="G138" s="41" t="s">
        <v>337</v>
      </c>
      <c r="H138" s="44"/>
      <c r="I138" s="44" t="str">
        <f t="shared" si="9"/>
        <v>SVT+PC | SVT+Maths</v>
      </c>
      <c r="J138" s="44"/>
      <c r="K138" t="s">
        <v>19</v>
      </c>
    </row>
    <row r="139" spans="1:12" ht="30" customHeight="1" x14ac:dyDescent="0.3">
      <c r="B139" s="36" t="s">
        <v>338</v>
      </c>
      <c r="C139" s="68" t="s">
        <v>17</v>
      </c>
      <c r="D139" s="38"/>
      <c r="E139" s="39" t="str">
        <f t="shared" si="8"/>
        <v>SVT + Physique-Chimie ou SVT + Maths</v>
      </c>
      <c r="F139" s="40"/>
      <c r="G139" s="41" t="s">
        <v>339</v>
      </c>
      <c r="H139" s="44"/>
      <c r="I139" s="44" t="str">
        <f t="shared" si="9"/>
        <v>SVT+PC | SVT+Maths</v>
      </c>
      <c r="J139" s="44"/>
      <c r="K139" t="s">
        <v>19</v>
      </c>
    </row>
    <row r="140" spans="1:12" ht="22.05" customHeight="1" x14ac:dyDescent="0.3">
      <c r="B140" s="36" t="s">
        <v>340</v>
      </c>
      <c r="C140" s="95" t="s">
        <v>17</v>
      </c>
      <c r="D140" s="38"/>
      <c r="E140" s="39" t="str">
        <f t="shared" si="8"/>
        <v>SVT + Physique-Chimie ou SVT + Maths</v>
      </c>
      <c r="F140" s="40"/>
      <c r="G140" s="41" t="s">
        <v>341</v>
      </c>
      <c r="H140" s="44"/>
      <c r="I140" s="44" t="str">
        <f t="shared" si="9"/>
        <v>SVT+PC | SVT+Maths</v>
      </c>
      <c r="J140" s="44"/>
      <c r="K140" t="s">
        <v>71</v>
      </c>
    </row>
    <row r="141" spans="1:12" s="52" customFormat="1" ht="22.05" customHeight="1" x14ac:dyDescent="0.3">
      <c r="A141"/>
      <c r="B141" s="88" t="s">
        <v>1548</v>
      </c>
      <c r="C141" s="94" t="s">
        <v>17</v>
      </c>
      <c r="D141" s="89"/>
      <c r="E141" s="39" t="str">
        <f t="shared" ref="E141:E147" si="10">E$118</f>
        <v>SVT + Physique-Chimie ou SVT + Maths</v>
      </c>
      <c r="F141" s="40"/>
      <c r="G141" s="41" t="s">
        <v>1549</v>
      </c>
      <c r="H141" s="44" t="s">
        <v>1550</v>
      </c>
      <c r="I141" s="44" t="str">
        <f t="shared" ref="I141:I147" si="11">I$118</f>
        <v>SVT+PC | SVT+Maths</v>
      </c>
      <c r="J141" s="44"/>
      <c r="K141" s="100" t="s">
        <v>71</v>
      </c>
      <c r="L141"/>
    </row>
    <row r="142" spans="1:12" s="52" customFormat="1" ht="22.05" customHeight="1" x14ac:dyDescent="0.3">
      <c r="A142"/>
      <c r="B142" s="88" t="s">
        <v>1551</v>
      </c>
      <c r="C142" s="92" t="s">
        <v>17</v>
      </c>
      <c r="D142" s="89"/>
      <c r="E142" s="39" t="str">
        <f t="shared" si="10"/>
        <v>SVT + Physique-Chimie ou SVT + Maths</v>
      </c>
      <c r="F142" s="40"/>
      <c r="G142" s="41" t="s">
        <v>1552</v>
      </c>
      <c r="H142" s="44" t="s">
        <v>1553</v>
      </c>
      <c r="I142" s="44" t="str">
        <f t="shared" si="11"/>
        <v>SVT+PC | SVT+Maths</v>
      </c>
      <c r="J142" s="44"/>
      <c r="K142" s="100" t="s">
        <v>71</v>
      </c>
      <c r="L142"/>
    </row>
    <row r="143" spans="1:12" s="52" customFormat="1" ht="22.05" customHeight="1" x14ac:dyDescent="0.3">
      <c r="A143"/>
      <c r="B143" s="88" t="s">
        <v>1593</v>
      </c>
      <c r="C143" s="61" t="s">
        <v>17</v>
      </c>
      <c r="D143" s="89"/>
      <c r="E143" s="39" t="str">
        <f t="shared" si="10"/>
        <v>SVT + Physique-Chimie ou SVT + Maths</v>
      </c>
      <c r="F143" s="40"/>
      <c r="G143" s="41" t="s">
        <v>1594</v>
      </c>
      <c r="H143" s="44" t="s">
        <v>1595</v>
      </c>
      <c r="I143" s="44" t="str">
        <f t="shared" si="11"/>
        <v>SVT+PC | SVT+Maths</v>
      </c>
      <c r="J143" s="44"/>
      <c r="K143" s="100" t="s">
        <v>71</v>
      </c>
      <c r="L143"/>
    </row>
    <row r="144" spans="1:12" s="52" customFormat="1" ht="22.05" customHeight="1" x14ac:dyDescent="0.3">
      <c r="B144" s="88" t="s">
        <v>1608</v>
      </c>
      <c r="C144" s="162" t="s">
        <v>17</v>
      </c>
      <c r="D144" s="89"/>
      <c r="E144" s="39" t="str">
        <f t="shared" si="10"/>
        <v>SVT + Physique-Chimie ou SVT + Maths</v>
      </c>
      <c r="F144" s="40"/>
      <c r="G144" s="41" t="s">
        <v>1609</v>
      </c>
      <c r="H144" s="44" t="s">
        <v>71</v>
      </c>
      <c r="I144" s="44" t="str">
        <f t="shared" si="11"/>
        <v>SVT+PC | SVT+Maths</v>
      </c>
      <c r="J144" s="44"/>
      <c r="K144" s="100" t="s">
        <v>71</v>
      </c>
      <c r="L144"/>
    </row>
    <row r="145" spans="1:12" s="52" customFormat="1" ht="22.05" customHeight="1" x14ac:dyDescent="0.3">
      <c r="B145" s="88" t="s">
        <v>1635</v>
      </c>
      <c r="C145" s="162" t="s">
        <v>17</v>
      </c>
      <c r="D145" s="89"/>
      <c r="E145" s="39" t="str">
        <f t="shared" si="10"/>
        <v>SVT + Physique-Chimie ou SVT + Maths</v>
      </c>
      <c r="F145" s="40"/>
      <c r="G145" s="41" t="s">
        <v>1636</v>
      </c>
      <c r="H145" s="44"/>
      <c r="I145" s="44" t="str">
        <f t="shared" si="11"/>
        <v>SVT+PC | SVT+Maths</v>
      </c>
      <c r="J145" s="44"/>
      <c r="K145" s="100" t="s">
        <v>71</v>
      </c>
      <c r="L145"/>
    </row>
    <row r="146" spans="1:12" s="52" customFormat="1" ht="22.05" customHeight="1" x14ac:dyDescent="0.3">
      <c r="B146" s="88" t="s">
        <v>1637</v>
      </c>
      <c r="C146" s="162" t="s">
        <v>17</v>
      </c>
      <c r="D146" s="89"/>
      <c r="E146" s="39" t="str">
        <f t="shared" si="10"/>
        <v>SVT + Physique-Chimie ou SVT + Maths</v>
      </c>
      <c r="F146" s="40"/>
      <c r="G146" s="41" t="s">
        <v>1638</v>
      </c>
      <c r="H146" s="44"/>
      <c r="I146" s="44" t="str">
        <f t="shared" si="11"/>
        <v>SVT+PC | SVT+Maths</v>
      </c>
      <c r="J146" s="44"/>
      <c r="K146" s="100" t="s">
        <v>19</v>
      </c>
      <c r="L146"/>
    </row>
    <row r="147" spans="1:12" s="52" customFormat="1" ht="22.05" customHeight="1" x14ac:dyDescent="0.3">
      <c r="B147" s="88" t="s">
        <v>1639</v>
      </c>
      <c r="C147" s="161" t="s">
        <v>17</v>
      </c>
      <c r="D147" s="89"/>
      <c r="E147" s="39" t="str">
        <f t="shared" si="10"/>
        <v>SVT + Physique-Chimie ou SVT + Maths</v>
      </c>
      <c r="F147" s="40"/>
      <c r="G147" s="41" t="s">
        <v>1640</v>
      </c>
      <c r="H147" s="44" t="s">
        <v>1641</v>
      </c>
      <c r="I147" s="44" t="str">
        <f t="shared" si="11"/>
        <v>SVT+PC | SVT+Maths</v>
      </c>
      <c r="J147" s="44"/>
      <c r="K147" s="100" t="s">
        <v>71</v>
      </c>
      <c r="L147"/>
    </row>
    <row r="148" spans="1:12" s="24" customFormat="1" ht="22.05" customHeight="1" x14ac:dyDescent="0.3"/>
    <row r="149" spans="1:12" s="52" customFormat="1" ht="22.05" customHeight="1" thickBot="1" x14ac:dyDescent="0.35">
      <c r="B149" s="33" t="s">
        <v>342</v>
      </c>
      <c r="C149" s="32"/>
      <c r="D149" s="32"/>
      <c r="E149" s="34" t="s">
        <v>343</v>
      </c>
      <c r="F149" s="35" t="s">
        <v>344</v>
      </c>
      <c r="G149" s="32"/>
      <c r="H149" s="43" t="s">
        <v>345</v>
      </c>
      <c r="I149" s="43" t="s">
        <v>346</v>
      </c>
      <c r="J149" s="43"/>
    </row>
    <row r="150" spans="1:12" s="52" customFormat="1" ht="22.05" customHeight="1" x14ac:dyDescent="0.3">
      <c r="B150" s="36" t="s">
        <v>347</v>
      </c>
      <c r="C150" s="37" t="s">
        <v>17</v>
      </c>
      <c r="D150" s="38"/>
      <c r="E150" s="39" t="s">
        <v>343</v>
      </c>
      <c r="F150" s="40" t="s">
        <v>344</v>
      </c>
      <c r="G150" s="41" t="s">
        <v>348</v>
      </c>
      <c r="H150" s="44"/>
      <c r="I150" s="44" t="s">
        <v>346</v>
      </c>
      <c r="J150" s="44"/>
      <c r="K150" t="s">
        <v>19</v>
      </c>
    </row>
    <row r="151" spans="1:12" s="52" customFormat="1" ht="22.05" customHeight="1" x14ac:dyDescent="0.3">
      <c r="B151" s="36" t="s">
        <v>349</v>
      </c>
      <c r="C151" s="37" t="s">
        <v>17</v>
      </c>
      <c r="D151" s="38"/>
      <c r="E151" s="39" t="s">
        <v>343</v>
      </c>
      <c r="F151" s="40" t="s">
        <v>344</v>
      </c>
      <c r="G151" s="41" t="s">
        <v>350</v>
      </c>
      <c r="H151" s="44"/>
      <c r="I151" s="44" t="s">
        <v>346</v>
      </c>
      <c r="J151" s="44"/>
      <c r="K151" t="s">
        <v>19</v>
      </c>
    </row>
    <row r="152" spans="1:12" ht="6" customHeight="1" x14ac:dyDescent="0.3">
      <c r="B152" s="36" t="s">
        <v>338</v>
      </c>
      <c r="C152" s="95" t="s">
        <v>17</v>
      </c>
      <c r="D152" s="38"/>
      <c r="E152" s="39" t="s">
        <v>343</v>
      </c>
      <c r="F152" s="40" t="s">
        <v>344</v>
      </c>
      <c r="G152" s="41" t="s">
        <v>339</v>
      </c>
      <c r="H152" s="44"/>
      <c r="I152" s="44" t="s">
        <v>346</v>
      </c>
      <c r="J152" s="44"/>
      <c r="K152" t="s">
        <v>19</v>
      </c>
    </row>
    <row r="153" spans="1:12" s="52" customFormat="1" ht="6" customHeight="1" x14ac:dyDescent="0.3">
      <c r="A153"/>
      <c r="B153" s="88" t="s">
        <v>1424</v>
      </c>
      <c r="C153" s="92" t="s">
        <v>17</v>
      </c>
      <c r="D153" s="89"/>
      <c r="E153" s="39" t="str">
        <f>E$149</f>
        <v>SVT + SES ou SVT + Maths</v>
      </c>
      <c r="F153" s="40" t="str">
        <f>F$149</f>
        <v>DGEMC conseillée (option Tle)</v>
      </c>
      <c r="G153" s="41" t="s">
        <v>1427</v>
      </c>
      <c r="H153" s="44" t="s">
        <v>1426</v>
      </c>
      <c r="I153" s="44" t="str">
        <f>I$149</f>
        <v>SVT+* | SVT+SES | SVT+Maths</v>
      </c>
      <c r="J153" s="44"/>
      <c r="K153" s="100" t="s">
        <v>19</v>
      </c>
      <c r="L153"/>
    </row>
    <row r="154" spans="1:12" ht="25.95" customHeight="1" x14ac:dyDescent="0.3">
      <c r="B154" s="36" t="s">
        <v>84</v>
      </c>
      <c r="C154" s="122" t="s">
        <v>17</v>
      </c>
      <c r="D154" s="38"/>
      <c r="E154" s="39" t="str">
        <f>E152</f>
        <v>SVT + SES ou SVT + Maths</v>
      </c>
      <c r="F154" s="40" t="str">
        <f>F152</f>
        <v>DGEMC conseillée (option Tle)</v>
      </c>
      <c r="G154" s="41" t="s">
        <v>85</v>
      </c>
      <c r="H154" s="44" t="s">
        <v>86</v>
      </c>
      <c r="I154" s="44" t="str">
        <f>I152</f>
        <v>SVT+* | SVT+SES | SVT+Maths</v>
      </c>
      <c r="J154" s="44"/>
      <c r="K154" t="s">
        <v>19</v>
      </c>
    </row>
    <row r="155" spans="1:12" ht="22.05" customHeight="1" x14ac:dyDescent="0.3">
      <c r="B155" s="36" t="s">
        <v>92</v>
      </c>
      <c r="C155" s="54" t="s">
        <v>17</v>
      </c>
      <c r="D155" s="38"/>
      <c r="E155" s="39" t="str">
        <f>E154</f>
        <v>SVT + SES ou SVT + Maths</v>
      </c>
      <c r="F155" s="40" t="str">
        <f>F154</f>
        <v>DGEMC conseillée (option Tle)</v>
      </c>
      <c r="G155" s="41" t="s">
        <v>93</v>
      </c>
      <c r="H155" s="44"/>
      <c r="I155" s="44" t="str">
        <f>I154</f>
        <v>SVT+* | SVT+SES | SVT+Maths</v>
      </c>
      <c r="J155" s="44"/>
      <c r="K155" t="s">
        <v>19</v>
      </c>
    </row>
    <row r="156" spans="1:12" ht="22.05" customHeight="1" x14ac:dyDescent="0.3"/>
    <row r="157" spans="1:12" ht="22.05" customHeight="1" thickBot="1" x14ac:dyDescent="0.35">
      <c r="B157" s="33" t="s">
        <v>351</v>
      </c>
      <c r="C157" s="32"/>
      <c r="D157" s="32"/>
      <c r="E157" s="34" t="s">
        <v>13</v>
      </c>
      <c r="F157" s="35"/>
      <c r="G157" s="32"/>
      <c r="H157" s="43" t="s">
        <v>352</v>
      </c>
      <c r="I157" s="43" t="s">
        <v>15</v>
      </c>
      <c r="J157" s="43"/>
    </row>
    <row r="158" spans="1:12" ht="22.05" customHeight="1" x14ac:dyDescent="0.3">
      <c r="B158" s="36" t="s">
        <v>353</v>
      </c>
      <c r="C158" s="37" t="s">
        <v>17</v>
      </c>
      <c r="D158" s="38"/>
      <c r="E158" s="39" t="s">
        <v>13</v>
      </c>
      <c r="F158" s="40"/>
      <c r="G158" s="41" t="s">
        <v>354</v>
      </c>
      <c r="H158" s="44"/>
      <c r="I158" s="44" t="s">
        <v>15</v>
      </c>
      <c r="J158" s="44"/>
      <c r="K158" t="s">
        <v>23</v>
      </c>
    </row>
    <row r="159" spans="1:12" ht="22.05" customHeight="1" x14ac:dyDescent="0.3">
      <c r="B159" s="36" t="s">
        <v>355</v>
      </c>
      <c r="C159" s="37" t="s">
        <v>17</v>
      </c>
      <c r="D159" s="38"/>
      <c r="E159" s="39" t="s">
        <v>13</v>
      </c>
      <c r="F159" s="40"/>
      <c r="G159" s="41" t="s">
        <v>356</v>
      </c>
      <c r="H159" s="44"/>
      <c r="I159" s="44" t="s">
        <v>15</v>
      </c>
      <c r="J159" s="44"/>
      <c r="K159" t="s">
        <v>38</v>
      </c>
    </row>
    <row r="160" spans="1:12" s="52" customFormat="1" ht="22.05" customHeight="1" x14ac:dyDescent="0.3">
      <c r="B160" s="36" t="s">
        <v>349</v>
      </c>
      <c r="C160" s="37" t="s">
        <v>17</v>
      </c>
      <c r="D160" s="38"/>
      <c r="E160" s="39" t="s">
        <v>13</v>
      </c>
      <c r="F160" s="40"/>
      <c r="G160" s="41" t="s">
        <v>350</v>
      </c>
      <c r="H160" s="44"/>
      <c r="I160" s="44" t="s">
        <v>15</v>
      </c>
      <c r="J160" s="44"/>
      <c r="K160" t="s">
        <v>19</v>
      </c>
    </row>
    <row r="161" spans="1:12" s="52" customFormat="1" ht="22.05" customHeight="1" x14ac:dyDescent="0.3">
      <c r="B161" s="36" t="s">
        <v>357</v>
      </c>
      <c r="C161" s="37" t="s">
        <v>17</v>
      </c>
      <c r="D161" s="38"/>
      <c r="E161" s="39" t="s">
        <v>13</v>
      </c>
      <c r="F161" s="40"/>
      <c r="G161" s="41" t="s">
        <v>358</v>
      </c>
      <c r="H161" s="44"/>
      <c r="I161" s="44" t="s">
        <v>15</v>
      </c>
      <c r="J161" s="44"/>
      <c r="K161" t="s">
        <v>19</v>
      </c>
    </row>
    <row r="162" spans="1:12" ht="6" customHeight="1" x14ac:dyDescent="0.3">
      <c r="B162" s="36" t="s">
        <v>359</v>
      </c>
      <c r="C162" s="37" t="s">
        <v>17</v>
      </c>
      <c r="D162" s="38"/>
      <c r="E162" s="39" t="s">
        <v>13</v>
      </c>
      <c r="F162" s="40"/>
      <c r="G162" s="41" t="s">
        <v>360</v>
      </c>
      <c r="H162" s="44"/>
      <c r="I162" s="44" t="s">
        <v>15</v>
      </c>
      <c r="J162" s="44"/>
      <c r="K162" t="s">
        <v>19</v>
      </c>
    </row>
    <row r="163" spans="1:12" ht="25.95" customHeight="1" x14ac:dyDescent="0.3">
      <c r="B163" s="36" t="s">
        <v>361</v>
      </c>
      <c r="C163" s="60" t="s">
        <v>17</v>
      </c>
      <c r="D163" s="38"/>
      <c r="E163" s="39" t="s">
        <v>13</v>
      </c>
      <c r="F163" s="40"/>
      <c r="G163" s="41" t="s">
        <v>362</v>
      </c>
      <c r="H163" s="44"/>
      <c r="I163" s="44" t="s">
        <v>15</v>
      </c>
      <c r="J163" s="44"/>
      <c r="K163" t="s">
        <v>23</v>
      </c>
    </row>
    <row r="164" spans="1:12" ht="22.05" customHeight="1" x14ac:dyDescent="0.3">
      <c r="B164" s="36" t="s">
        <v>363</v>
      </c>
      <c r="C164" s="90" t="s">
        <v>17</v>
      </c>
      <c r="D164" s="38"/>
      <c r="E164" s="39" t="s">
        <v>13</v>
      </c>
      <c r="F164" s="40"/>
      <c r="G164" s="41" t="s">
        <v>364</v>
      </c>
      <c r="H164" s="44"/>
      <c r="I164" s="44" t="s">
        <v>15</v>
      </c>
      <c r="J164" s="44"/>
      <c r="K164" s="87" t="s">
        <v>19</v>
      </c>
      <c r="L164" s="87"/>
    </row>
    <row r="165" spans="1:12" s="52" customFormat="1" ht="22.05" customHeight="1" x14ac:dyDescent="0.3">
      <c r="A165"/>
      <c r="B165" s="88" t="s">
        <v>1424</v>
      </c>
      <c r="C165" s="94" t="s">
        <v>17</v>
      </c>
      <c r="D165" s="89"/>
      <c r="E165" s="39" t="str">
        <f>E$157</f>
        <v>SVT + Physique-Chimie ou SVT + Maths</v>
      </c>
      <c r="F165" s="40"/>
      <c r="G165" s="41" t="s">
        <v>1425</v>
      </c>
      <c r="H165" s="44" t="s">
        <v>1426</v>
      </c>
      <c r="I165" s="44" t="str">
        <f>I$157</f>
        <v>SVT+PC | SVT+Maths</v>
      </c>
      <c r="J165" s="44"/>
      <c r="K165" s="100" t="s">
        <v>19</v>
      </c>
      <c r="L165" s="87"/>
    </row>
    <row r="166" spans="1:12" s="52" customFormat="1" ht="22.05" customHeight="1" x14ac:dyDescent="0.3">
      <c r="A166"/>
      <c r="B166" s="88" t="s">
        <v>1672</v>
      </c>
      <c r="C166" s="161" t="s">
        <v>17</v>
      </c>
      <c r="D166" s="89"/>
      <c r="E166" s="39" t="str">
        <f>E$157</f>
        <v>SVT + Physique-Chimie ou SVT + Maths</v>
      </c>
      <c r="F166" s="40"/>
      <c r="G166" s="41" t="s">
        <v>1696</v>
      </c>
      <c r="H166" s="44" t="s">
        <v>1673</v>
      </c>
      <c r="I166" s="44" t="str">
        <f>I$157</f>
        <v>SVT+PC | SVT+Maths</v>
      </c>
      <c r="J166" s="44"/>
      <c r="K166" s="100" t="s">
        <v>19</v>
      </c>
      <c r="L166" s="87"/>
    </row>
    <row r="167" spans="1:12" s="52" customFormat="1" ht="22.05" customHeight="1" x14ac:dyDescent="0.3"/>
    <row r="168" spans="1:12" s="52" customFormat="1" ht="22.05" customHeight="1" thickBot="1" x14ac:dyDescent="0.35">
      <c r="A168"/>
      <c r="B168" s="33" t="s">
        <v>1643</v>
      </c>
      <c r="C168" s="160"/>
      <c r="D168" s="32"/>
      <c r="E168" s="34" t="s">
        <v>792</v>
      </c>
      <c r="F168" s="35"/>
      <c r="G168" s="32"/>
      <c r="H168" s="43" t="s">
        <v>1644</v>
      </c>
      <c r="I168" s="43" t="s">
        <v>795</v>
      </c>
      <c r="J168" s="43"/>
      <c r="K168"/>
      <c r="L168"/>
    </row>
    <row r="169" spans="1:12" s="52" customFormat="1" ht="22.05" customHeight="1" x14ac:dyDescent="0.3">
      <c r="A169"/>
      <c r="B169" s="88" t="s">
        <v>1645</v>
      </c>
      <c r="C169" s="162" t="s">
        <v>17</v>
      </c>
      <c r="D169" s="89"/>
      <c r="E169" s="39" t="str">
        <f>E$168</f>
        <v>SVT + Physique-Chimie</v>
      </c>
      <c r="F169" s="40"/>
      <c r="G169" s="41" t="s">
        <v>1683</v>
      </c>
      <c r="H169" s="44" t="s">
        <v>1646</v>
      </c>
      <c r="I169" s="44" t="str">
        <f>I$168</f>
        <v>SVT+PC</v>
      </c>
      <c r="J169" s="44"/>
      <c r="K169" s="100" t="s">
        <v>19</v>
      </c>
      <c r="L169" s="87"/>
    </row>
    <row r="170" spans="1:12" s="52" customFormat="1" ht="22.05" customHeight="1" x14ac:dyDescent="0.3">
      <c r="A170"/>
      <c r="B170" s="88" t="s">
        <v>1647</v>
      </c>
      <c r="C170" s="162" t="s">
        <v>17</v>
      </c>
      <c r="D170" s="89"/>
      <c r="E170" s="39" t="s">
        <v>477</v>
      </c>
      <c r="F170" s="40"/>
      <c r="G170" s="41" t="s">
        <v>1684</v>
      </c>
      <c r="H170" s="44" t="s">
        <v>1648</v>
      </c>
      <c r="I170" s="44" t="s">
        <v>1270</v>
      </c>
      <c r="J170" s="44"/>
      <c r="K170" s="100" t="s">
        <v>38</v>
      </c>
      <c r="L170" s="87"/>
    </row>
    <row r="171" spans="1:12" s="52" customFormat="1" ht="22.05" customHeight="1" x14ac:dyDescent="0.3">
      <c r="A171"/>
      <c r="B171" s="88" t="s">
        <v>1649</v>
      </c>
      <c r="C171" s="162" t="s">
        <v>17</v>
      </c>
      <c r="D171" s="89"/>
      <c r="E171" s="39" t="s">
        <v>477</v>
      </c>
      <c r="F171" s="40"/>
      <c r="G171" s="41" t="s">
        <v>1685</v>
      </c>
      <c r="H171" s="44" t="s">
        <v>1650</v>
      </c>
      <c r="I171" s="44" t="s">
        <v>1270</v>
      </c>
      <c r="J171" s="44"/>
      <c r="K171" s="100" t="s">
        <v>38</v>
      </c>
      <c r="L171" s="87"/>
    </row>
    <row r="172" spans="1:12" s="52" customFormat="1" ht="22.05" customHeight="1" x14ac:dyDescent="0.3">
      <c r="A172"/>
      <c r="B172" s="88" t="s">
        <v>1651</v>
      </c>
      <c r="C172" s="162" t="s">
        <v>17</v>
      </c>
      <c r="D172" s="89"/>
      <c r="E172" s="39" t="str">
        <f>E$168</f>
        <v>SVT + Physique-Chimie</v>
      </c>
      <c r="F172" s="40"/>
      <c r="G172" s="41" t="s">
        <v>1686</v>
      </c>
      <c r="H172" s="44" t="s">
        <v>1652</v>
      </c>
      <c r="I172" s="44" t="str">
        <f>I$168</f>
        <v>SVT+PC</v>
      </c>
      <c r="J172" s="44"/>
      <c r="K172" s="100" t="s">
        <v>23</v>
      </c>
      <c r="L172" s="87"/>
    </row>
    <row r="173" spans="1:12" s="52" customFormat="1" ht="22.05" customHeight="1" x14ac:dyDescent="0.3">
      <c r="A173"/>
      <c r="B173" s="88" t="s">
        <v>1653</v>
      </c>
      <c r="C173" s="162" t="s">
        <v>17</v>
      </c>
      <c r="D173" s="89"/>
      <c r="E173" s="39" t="s">
        <v>477</v>
      </c>
      <c r="F173" s="40"/>
      <c r="G173" s="41" t="s">
        <v>1687</v>
      </c>
      <c r="H173" s="44" t="s">
        <v>1654</v>
      </c>
      <c r="I173" s="44" t="s">
        <v>1270</v>
      </c>
      <c r="J173" s="44"/>
      <c r="K173" s="100" t="s">
        <v>38</v>
      </c>
      <c r="L173" s="87"/>
    </row>
    <row r="174" spans="1:12" s="52" customFormat="1" ht="22.05" customHeight="1" x14ac:dyDescent="0.3">
      <c r="A174"/>
      <c r="B174" s="88" t="s">
        <v>1655</v>
      </c>
      <c r="C174" s="162" t="s">
        <v>17</v>
      </c>
      <c r="D174" s="89"/>
      <c r="E174" s="39" t="s">
        <v>477</v>
      </c>
      <c r="F174" s="40"/>
      <c r="G174" s="41" t="s">
        <v>1688</v>
      </c>
      <c r="H174" s="44" t="s">
        <v>1656</v>
      </c>
      <c r="I174" s="44" t="s">
        <v>1270</v>
      </c>
      <c r="J174" s="44"/>
      <c r="K174" s="100" t="s">
        <v>38</v>
      </c>
      <c r="L174" s="87"/>
    </row>
    <row r="175" spans="1:12" s="52" customFormat="1" ht="22.05" customHeight="1" x14ac:dyDescent="0.3">
      <c r="A175"/>
      <c r="B175" s="88" t="s">
        <v>1657</v>
      </c>
      <c r="C175" s="162" t="s">
        <v>17</v>
      </c>
      <c r="D175" s="89"/>
      <c r="E175" s="39" t="s">
        <v>477</v>
      </c>
      <c r="F175" s="40"/>
      <c r="G175" s="41" t="s">
        <v>1689</v>
      </c>
      <c r="H175" s="44" t="s">
        <v>1658</v>
      </c>
      <c r="I175" s="44" t="s">
        <v>1270</v>
      </c>
      <c r="J175" s="44"/>
      <c r="K175" s="100" t="s">
        <v>38</v>
      </c>
      <c r="L175" s="87"/>
    </row>
    <row r="176" spans="1:12" s="52" customFormat="1" ht="22.05" customHeight="1" x14ac:dyDescent="0.3">
      <c r="A176"/>
      <c r="B176" s="88" t="s">
        <v>1659</v>
      </c>
      <c r="C176" s="162" t="s">
        <v>17</v>
      </c>
      <c r="D176" s="89"/>
      <c r="E176" s="39" t="str">
        <f>E$168</f>
        <v>SVT + Physique-Chimie</v>
      </c>
      <c r="F176" s="40"/>
      <c r="G176" s="41" t="s">
        <v>1690</v>
      </c>
      <c r="H176" s="44" t="s">
        <v>1660</v>
      </c>
      <c r="I176" s="44" t="str">
        <f>I$168</f>
        <v>SVT+PC</v>
      </c>
      <c r="J176" s="44"/>
      <c r="K176" s="100" t="s">
        <v>23</v>
      </c>
      <c r="L176" s="87"/>
    </row>
    <row r="177" spans="1:12" s="52" customFormat="1" ht="22.05" customHeight="1" x14ac:dyDescent="0.3">
      <c r="A177"/>
      <c r="B177" s="88" t="s">
        <v>1661</v>
      </c>
      <c r="C177" s="162" t="s">
        <v>17</v>
      </c>
      <c r="D177" s="89"/>
      <c r="E177" s="39" t="str">
        <f>E$168</f>
        <v>SVT + Physique-Chimie</v>
      </c>
      <c r="F177" s="40"/>
      <c r="G177" s="41" t="s">
        <v>1691</v>
      </c>
      <c r="H177" s="44" t="s">
        <v>1662</v>
      </c>
      <c r="I177" s="44" t="str">
        <f>I$168</f>
        <v>SVT+PC</v>
      </c>
      <c r="J177" s="44"/>
      <c r="K177" s="100" t="s">
        <v>19</v>
      </c>
      <c r="L177" s="87"/>
    </row>
    <row r="178" spans="1:12" s="52" customFormat="1" ht="22.05" customHeight="1" x14ac:dyDescent="0.3">
      <c r="A178"/>
      <c r="B178" s="88" t="s">
        <v>1663</v>
      </c>
      <c r="C178" s="162" t="s">
        <v>17</v>
      </c>
      <c r="D178" s="106"/>
      <c r="E178" s="39" t="str">
        <f>E$168</f>
        <v>SVT + Physique-Chimie</v>
      </c>
      <c r="F178" s="40"/>
      <c r="G178" s="41" t="s">
        <v>1692</v>
      </c>
      <c r="H178" s="44" t="s">
        <v>1665</v>
      </c>
      <c r="I178" s="44" t="str">
        <f>I$168</f>
        <v>SVT+PC</v>
      </c>
      <c r="J178" s="44"/>
      <c r="K178" s="100" t="s">
        <v>23</v>
      </c>
      <c r="L178" s="87"/>
    </row>
    <row r="179" spans="1:12" s="52" customFormat="1" ht="22.05" customHeight="1" x14ac:dyDescent="0.3">
      <c r="A179"/>
      <c r="B179" s="88" t="s">
        <v>1666</v>
      </c>
      <c r="C179" s="164" t="s">
        <v>17</v>
      </c>
      <c r="D179" s="163" t="s">
        <v>17</v>
      </c>
      <c r="E179" s="65" t="str">
        <f>E$168</f>
        <v>SVT + Physique-Chimie</v>
      </c>
      <c r="F179" s="40"/>
      <c r="G179" s="41" t="s">
        <v>1693</v>
      </c>
      <c r="H179" s="44" t="s">
        <v>1667</v>
      </c>
      <c r="I179" s="44" t="str">
        <f>I$168</f>
        <v>SVT+PC</v>
      </c>
      <c r="J179" s="44"/>
      <c r="K179" s="100" t="s">
        <v>23</v>
      </c>
      <c r="L179" s="87"/>
    </row>
    <row r="180" spans="1:12" s="52" customFormat="1" ht="22.05" customHeight="1" x14ac:dyDescent="0.3">
      <c r="A180"/>
      <c r="B180" s="88" t="s">
        <v>1668</v>
      </c>
      <c r="C180" s="162" t="s">
        <v>17</v>
      </c>
      <c r="D180" s="165"/>
      <c r="E180" s="39" t="str">
        <f>E$168</f>
        <v>SVT + Physique-Chimie</v>
      </c>
      <c r="F180" s="40"/>
      <c r="G180" s="41" t="s">
        <v>1694</v>
      </c>
      <c r="H180" s="44" t="s">
        <v>1669</v>
      </c>
      <c r="I180" s="44" t="str">
        <f>I$168</f>
        <v>SVT+PC</v>
      </c>
      <c r="J180" s="44"/>
      <c r="K180" s="100" t="s">
        <v>23</v>
      </c>
      <c r="L180" s="87"/>
    </row>
    <row r="181" spans="1:12" s="52" customFormat="1" ht="22.05" customHeight="1" x14ac:dyDescent="0.3">
      <c r="A181"/>
      <c r="B181" s="88" t="s">
        <v>1670</v>
      </c>
      <c r="C181" s="164" t="s">
        <v>17</v>
      </c>
      <c r="D181" s="163" t="s">
        <v>17</v>
      </c>
      <c r="E181" s="65" t="str">
        <f>E$168</f>
        <v>SVT + Physique-Chimie</v>
      </c>
      <c r="F181" s="40"/>
      <c r="G181" s="41" t="s">
        <v>1695</v>
      </c>
      <c r="H181" s="44" t="s">
        <v>1671</v>
      </c>
      <c r="I181" s="44" t="str">
        <f>I$168</f>
        <v>SVT+PC</v>
      </c>
      <c r="J181" s="44"/>
      <c r="K181" s="100" t="s">
        <v>19</v>
      </c>
      <c r="L181" s="87"/>
    </row>
    <row r="182" spans="1:12" s="52" customFormat="1" ht="22.05" customHeight="1" x14ac:dyDescent="0.3">
      <c r="A182"/>
      <c r="B182" s="88" t="s">
        <v>1672</v>
      </c>
      <c r="C182" s="162" t="s">
        <v>17</v>
      </c>
      <c r="D182" s="104"/>
      <c r="E182" s="39" t="str">
        <f>E$168</f>
        <v>SVT + Physique-Chimie</v>
      </c>
      <c r="F182" s="40"/>
      <c r="G182" s="41" t="s">
        <v>1696</v>
      </c>
      <c r="H182" s="44" t="s">
        <v>1673</v>
      </c>
      <c r="I182" s="44" t="str">
        <f>I$168</f>
        <v>SVT+PC</v>
      </c>
      <c r="J182" s="44"/>
      <c r="K182" s="100" t="s">
        <v>19</v>
      </c>
      <c r="L182" s="87"/>
    </row>
    <row r="183" spans="1:12" s="52" customFormat="1" ht="22.05" customHeight="1" x14ac:dyDescent="0.3">
      <c r="A183"/>
      <c r="B183" s="88" t="s">
        <v>1674</v>
      </c>
      <c r="C183" s="162" t="s">
        <v>17</v>
      </c>
      <c r="D183" s="89"/>
      <c r="E183" s="39" t="str">
        <f>E$168</f>
        <v>SVT + Physique-Chimie</v>
      </c>
      <c r="F183" s="40"/>
      <c r="G183" s="41" t="s">
        <v>1697</v>
      </c>
      <c r="H183" s="44" t="s">
        <v>1675</v>
      </c>
      <c r="I183" s="44" t="str">
        <f>I$168</f>
        <v>SVT+PC</v>
      </c>
      <c r="J183" s="44"/>
      <c r="K183" s="100" t="s">
        <v>19</v>
      </c>
      <c r="L183" s="87"/>
    </row>
    <row r="184" spans="1:12" s="52" customFormat="1" ht="22.05" customHeight="1" x14ac:dyDescent="0.3">
      <c r="A184"/>
      <c r="B184" s="88" t="s">
        <v>1676</v>
      </c>
      <c r="C184" s="162" t="s">
        <v>17</v>
      </c>
      <c r="D184" s="89"/>
      <c r="E184" s="39" t="str">
        <f>E$168</f>
        <v>SVT + Physique-Chimie</v>
      </c>
      <c r="F184" s="40"/>
      <c r="G184" s="41" t="s">
        <v>1698</v>
      </c>
      <c r="H184" s="44" t="s">
        <v>1677</v>
      </c>
      <c r="I184" s="44" t="str">
        <f>I$168</f>
        <v>SVT+PC</v>
      </c>
      <c r="J184" s="44"/>
      <c r="K184" s="100" t="s">
        <v>19</v>
      </c>
      <c r="L184" s="87"/>
    </row>
    <row r="185" spans="1:12" s="52" customFormat="1" ht="22.05" customHeight="1" x14ac:dyDescent="0.3">
      <c r="A185"/>
      <c r="B185" s="88" t="s">
        <v>1678</v>
      </c>
      <c r="C185" s="94" t="s">
        <v>17</v>
      </c>
      <c r="D185" s="89"/>
      <c r="E185" s="39" t="str">
        <f>E$168</f>
        <v>SVT + Physique-Chimie</v>
      </c>
      <c r="F185" s="40"/>
      <c r="G185" s="41" t="s">
        <v>1699</v>
      </c>
      <c r="H185" s="44"/>
      <c r="I185" s="44" t="str">
        <f>I$168</f>
        <v>SVT+PC</v>
      </c>
      <c r="J185" s="44"/>
      <c r="K185" s="100" t="s">
        <v>19</v>
      </c>
      <c r="L185" s="87"/>
    </row>
    <row r="186" spans="1:12" s="52" customFormat="1" ht="22.05" customHeight="1" x14ac:dyDescent="0.3">
      <c r="A186"/>
      <c r="B186" s="88" t="s">
        <v>1679</v>
      </c>
      <c r="C186" s="94" t="s">
        <v>17</v>
      </c>
      <c r="D186" s="89"/>
      <c r="E186" s="39" t="str">
        <f>E$168</f>
        <v>SVT + Physique-Chimie</v>
      </c>
      <c r="F186" s="40"/>
      <c r="G186" s="41" t="s">
        <v>1700</v>
      </c>
      <c r="H186" s="44" t="s">
        <v>1680</v>
      </c>
      <c r="I186" s="44" t="str">
        <f>I$168</f>
        <v>SVT+PC</v>
      </c>
      <c r="J186" s="44"/>
      <c r="K186" s="100" t="s">
        <v>71</v>
      </c>
      <c r="L186" s="87"/>
    </row>
    <row r="187" spans="1:12" s="52" customFormat="1" ht="22.05" customHeight="1" x14ac:dyDescent="0.3">
      <c r="A187"/>
      <c r="B187" s="88" t="s">
        <v>1681</v>
      </c>
      <c r="C187" s="94" t="s">
        <v>17</v>
      </c>
      <c r="D187" s="89"/>
      <c r="E187" s="39" t="str">
        <f>E$168</f>
        <v>SVT + Physique-Chimie</v>
      </c>
      <c r="F187" s="40"/>
      <c r="G187" s="41" t="s">
        <v>1701</v>
      </c>
      <c r="H187" s="44" t="s">
        <v>1682</v>
      </c>
      <c r="I187" s="44" t="str">
        <f>I$168</f>
        <v>SVT+PC</v>
      </c>
      <c r="J187" s="44"/>
      <c r="K187" s="100" t="s">
        <v>19</v>
      </c>
      <c r="L187" s="87"/>
    </row>
    <row r="188" spans="1:12" s="52" customFormat="1" ht="22.05" customHeight="1" x14ac:dyDescent="0.3">
      <c r="A188"/>
      <c r="B188" s="88" t="s">
        <v>1705</v>
      </c>
      <c r="C188" s="94" t="s">
        <v>17</v>
      </c>
      <c r="D188" s="89"/>
      <c r="E188" s="39" t="s">
        <v>477</v>
      </c>
      <c r="F188" s="40"/>
      <c r="G188" s="41" t="s">
        <v>1706</v>
      </c>
      <c r="H188" s="44" t="s">
        <v>1707</v>
      </c>
      <c r="I188" s="44" t="s">
        <v>1270</v>
      </c>
      <c r="J188" s="44"/>
      <c r="K188" s="100" t="s">
        <v>38</v>
      </c>
      <c r="L188" s="87"/>
    </row>
    <row r="189" spans="1:12" s="52" customFormat="1" ht="22.05" customHeight="1" x14ac:dyDescent="0.3">
      <c r="A189"/>
      <c r="B189" s="88" t="s">
        <v>1708</v>
      </c>
      <c r="C189" s="94" t="s">
        <v>17</v>
      </c>
      <c r="D189" s="89"/>
      <c r="E189" s="39" t="str">
        <f>E$168</f>
        <v>SVT + Physique-Chimie</v>
      </c>
      <c r="F189" s="40"/>
      <c r="G189" s="41" t="s">
        <v>1709</v>
      </c>
      <c r="H189" s="44" t="s">
        <v>1710</v>
      </c>
      <c r="I189" s="44" t="str">
        <f>I$168</f>
        <v>SVT+PC</v>
      </c>
      <c r="J189" s="44"/>
      <c r="K189" s="100" t="s">
        <v>19</v>
      </c>
      <c r="L189" s="87"/>
    </row>
    <row r="190" spans="1:12" s="52" customFormat="1" ht="22.05" customHeight="1" x14ac:dyDescent="0.3">
      <c r="A190"/>
      <c r="B190" s="88" t="s">
        <v>1711</v>
      </c>
      <c r="C190" s="94" t="s">
        <v>17</v>
      </c>
      <c r="D190" s="89"/>
      <c r="E190" s="39" t="s">
        <v>477</v>
      </c>
      <c r="F190" s="40"/>
      <c r="G190" s="41" t="s">
        <v>1712</v>
      </c>
      <c r="H190" s="44" t="s">
        <v>1713</v>
      </c>
      <c r="I190" s="44" t="s">
        <v>1270</v>
      </c>
      <c r="J190" s="44"/>
      <c r="K190" s="100" t="s">
        <v>38</v>
      </c>
      <c r="L190" s="87"/>
    </row>
    <row r="191" spans="1:12" s="52" customFormat="1" ht="22.05" customHeight="1" x14ac:dyDescent="0.3">
      <c r="A191"/>
      <c r="B191" s="88" t="s">
        <v>1714</v>
      </c>
      <c r="C191" s="92" t="s">
        <v>17</v>
      </c>
      <c r="D191" s="89"/>
      <c r="E191" s="39" t="str">
        <f>E$168</f>
        <v>SVT + Physique-Chimie</v>
      </c>
      <c r="F191" s="40"/>
      <c r="G191" s="41" t="s">
        <v>1715</v>
      </c>
      <c r="H191" s="44"/>
      <c r="I191" s="44" t="str">
        <f>I$168</f>
        <v>SVT+PC</v>
      </c>
      <c r="J191" s="44"/>
      <c r="K191" s="100" t="s">
        <v>19</v>
      </c>
      <c r="L191" s="87"/>
    </row>
    <row r="192" spans="1:12" s="52" customFormat="1" ht="22.05" customHeight="1" x14ac:dyDescent="0.3"/>
    <row r="193" spans="2:12" s="52" customFormat="1" ht="22.05" customHeight="1" thickBot="1" x14ac:dyDescent="0.35">
      <c r="B193" s="33" t="s">
        <v>365</v>
      </c>
      <c r="C193" s="32"/>
      <c r="D193" s="32"/>
      <c r="E193" s="34" t="s">
        <v>248</v>
      </c>
      <c r="F193" s="35" t="s">
        <v>249</v>
      </c>
      <c r="G193" s="32"/>
      <c r="H193" s="43" t="s">
        <v>366</v>
      </c>
      <c r="I193" s="43" t="s">
        <v>251</v>
      </c>
      <c r="J193" s="43"/>
    </row>
    <row r="194" spans="2:12" s="52" customFormat="1" ht="22.05" customHeight="1" x14ac:dyDescent="0.3">
      <c r="B194" s="36" t="s">
        <v>367</v>
      </c>
      <c r="C194" s="101" t="s">
        <v>17</v>
      </c>
      <c r="D194" s="38"/>
      <c r="E194" s="39" t="s">
        <v>248</v>
      </c>
      <c r="F194" s="40" t="s">
        <v>249</v>
      </c>
      <c r="G194" s="41" t="s">
        <v>368</v>
      </c>
      <c r="H194" s="44"/>
      <c r="I194" s="44" t="s">
        <v>251</v>
      </c>
      <c r="J194" s="44"/>
      <c r="K194" t="s">
        <v>19</v>
      </c>
    </row>
    <row r="195" spans="2:12" s="52" customFormat="1" ht="22.05" customHeight="1" x14ac:dyDescent="0.3">
      <c r="B195" s="88" t="s">
        <v>1418</v>
      </c>
      <c r="C195" s="94" t="s">
        <v>17</v>
      </c>
      <c r="D195" s="89"/>
      <c r="E195" s="39" t="str">
        <f>E$193</f>
        <v>SVT + Maths ou SVT + NSI</v>
      </c>
      <c r="F195" s="40" t="str">
        <f>F$193</f>
        <v>Maths conservée en Tle conseillée — sinon Maths compl. (option)</v>
      </c>
      <c r="G195" s="41" t="s">
        <v>1419</v>
      </c>
      <c r="H195" s="44" t="s">
        <v>1420</v>
      </c>
      <c r="I195" s="44" t="str">
        <f>I$193</f>
        <v>SVT+Maths | SVT+NSI</v>
      </c>
      <c r="J195" s="44"/>
      <c r="K195" s="100" t="s">
        <v>19</v>
      </c>
    </row>
    <row r="196" spans="2:12" s="52" customFormat="1" ht="22.05" customHeight="1" x14ac:dyDescent="0.3">
      <c r="B196" s="88" t="s">
        <v>1449</v>
      </c>
      <c r="C196" s="92" t="s">
        <v>17</v>
      </c>
      <c r="D196" s="89"/>
      <c r="E196" s="39" t="str">
        <f>E$193</f>
        <v>SVT + Maths ou SVT + NSI</v>
      </c>
      <c r="F196" s="40" t="str">
        <f>F$193</f>
        <v>Maths conservée en Tle conseillée — sinon Maths compl. (option)</v>
      </c>
      <c r="G196" s="41" t="s">
        <v>1450</v>
      </c>
      <c r="H196" s="44" t="s">
        <v>1451</v>
      </c>
      <c r="I196" s="44" t="str">
        <f>I$193</f>
        <v>SVT+Maths | SVT+NSI</v>
      </c>
      <c r="J196" s="44"/>
      <c r="K196" s="100" t="s">
        <v>19</v>
      </c>
    </row>
    <row r="197" spans="2:12" s="52" customFormat="1" ht="22.05" customHeight="1" x14ac:dyDescent="0.3">
      <c r="B197" s="36" t="s">
        <v>90</v>
      </c>
      <c r="C197" s="122" t="s">
        <v>17</v>
      </c>
      <c r="D197" s="38"/>
      <c r="E197" s="39" t="str">
        <f>E194</f>
        <v>SVT + Maths ou SVT + NSI</v>
      </c>
      <c r="F197" s="40" t="str">
        <f>F194</f>
        <v>Maths conservée en Tle conseillée — sinon Maths compl. (option)</v>
      </c>
      <c r="G197" s="41" t="s">
        <v>91</v>
      </c>
      <c r="H197" s="44"/>
      <c r="I197" s="44" t="str">
        <f>I194</f>
        <v>SVT+Maths | SVT+NSI</v>
      </c>
      <c r="J197" s="44"/>
      <c r="K197" t="s">
        <v>19</v>
      </c>
    </row>
    <row r="198" spans="2:12" ht="22.05" customHeight="1" x14ac:dyDescent="0.3">
      <c r="B198" s="36" t="s">
        <v>87</v>
      </c>
      <c r="C198" s="54" t="s">
        <v>17</v>
      </c>
      <c r="D198" s="38"/>
      <c r="E198" s="39" t="str">
        <f>E194</f>
        <v>SVT + Maths ou SVT + NSI</v>
      </c>
      <c r="F198" s="40" t="str">
        <f>F194</f>
        <v>Maths conservée en Tle conseillée — sinon Maths compl. (option)</v>
      </c>
      <c r="G198" s="41" t="s">
        <v>88</v>
      </c>
      <c r="H198" s="44" t="s">
        <v>89</v>
      </c>
      <c r="I198" s="44" t="str">
        <f>I194</f>
        <v>SVT+Maths | SVT+NSI</v>
      </c>
      <c r="J198" s="44"/>
      <c r="K198" t="s">
        <v>19</v>
      </c>
    </row>
    <row r="199" spans="2:12" ht="22.05" customHeight="1" x14ac:dyDescent="0.3">
      <c r="B199" s="36" t="s">
        <v>77</v>
      </c>
      <c r="C199" s="54" t="s">
        <v>17</v>
      </c>
      <c r="D199" s="38"/>
      <c r="E199" s="39" t="str">
        <f>E198</f>
        <v>SVT + Maths ou SVT + NSI</v>
      </c>
      <c r="F199" s="40" t="str">
        <f>F198</f>
        <v>Maths conservée en Tle conseillée — sinon Maths compl. (option)</v>
      </c>
      <c r="G199" s="41" t="s">
        <v>78</v>
      </c>
      <c r="H199" s="44"/>
      <c r="I199" s="44" t="str">
        <f>I198</f>
        <v>SVT+Maths | SVT+NSI</v>
      </c>
      <c r="J199" s="44"/>
      <c r="K199" t="s">
        <v>19</v>
      </c>
    </row>
    <row r="200" spans="2:12" ht="22.05" customHeight="1" x14ac:dyDescent="0.3">
      <c r="B200" s="36" t="s">
        <v>79</v>
      </c>
      <c r="C200" s="54" t="s">
        <v>17</v>
      </c>
      <c r="D200" s="38"/>
      <c r="E200" s="39" t="str">
        <f>E199</f>
        <v>SVT + Maths ou SVT + NSI</v>
      </c>
      <c r="F200" s="40" t="str">
        <f>F199</f>
        <v>Maths conservée en Tle conseillée — sinon Maths compl. (option)</v>
      </c>
      <c r="G200" s="41" t="s">
        <v>80</v>
      </c>
      <c r="H200" s="44"/>
      <c r="I200" s="44" t="str">
        <f>I199</f>
        <v>SVT+Maths | SVT+NSI</v>
      </c>
      <c r="J200" s="44"/>
      <c r="K200" t="s">
        <v>19</v>
      </c>
    </row>
    <row r="201" spans="2:12" s="52" customFormat="1" ht="22.05" customHeight="1" x14ac:dyDescent="0.3">
      <c r="B201" s="36" t="s">
        <v>369</v>
      </c>
      <c r="C201" s="37" t="s">
        <v>17</v>
      </c>
      <c r="D201" s="38"/>
      <c r="E201" s="39" t="s">
        <v>248</v>
      </c>
      <c r="F201" s="40" t="s">
        <v>249</v>
      </c>
      <c r="G201" s="41" t="s">
        <v>370</v>
      </c>
      <c r="H201" s="44"/>
      <c r="I201" s="44" t="s">
        <v>251</v>
      </c>
      <c r="J201" s="44"/>
      <c r="K201" t="s">
        <v>19</v>
      </c>
    </row>
    <row r="202" spans="2:12" ht="22.05" customHeight="1" x14ac:dyDescent="0.3">
      <c r="B202" s="36" t="s">
        <v>371</v>
      </c>
      <c r="C202" s="37" t="s">
        <v>17</v>
      </c>
      <c r="D202" s="38"/>
      <c r="E202" s="39" t="s">
        <v>248</v>
      </c>
      <c r="F202" s="40" t="s">
        <v>249</v>
      </c>
      <c r="G202" s="41" t="s">
        <v>372</v>
      </c>
      <c r="H202" s="44"/>
      <c r="I202" s="44" t="s">
        <v>251</v>
      </c>
      <c r="J202" s="44"/>
      <c r="K202" t="s">
        <v>19</v>
      </c>
    </row>
    <row r="203" spans="2:12" ht="22.05" customHeight="1" x14ac:dyDescent="0.3">
      <c r="B203" s="36" t="s">
        <v>373</v>
      </c>
      <c r="C203" s="37" t="s">
        <v>17</v>
      </c>
      <c r="D203" s="103"/>
      <c r="E203" s="39" t="s">
        <v>248</v>
      </c>
      <c r="F203" s="40" t="s">
        <v>249</v>
      </c>
      <c r="G203" s="41" t="s">
        <v>374</v>
      </c>
      <c r="H203" s="44"/>
      <c r="I203" s="44" t="s">
        <v>251</v>
      </c>
      <c r="J203" s="44"/>
      <c r="K203" s="87" t="s">
        <v>19</v>
      </c>
      <c r="L203" s="87"/>
    </row>
    <row r="204" spans="2:12" ht="22.05" customHeight="1" x14ac:dyDescent="0.3">
      <c r="B204" s="36" t="s">
        <v>375</v>
      </c>
      <c r="C204" s="130" t="s">
        <v>17</v>
      </c>
      <c r="D204" s="135" t="s">
        <v>17</v>
      </c>
      <c r="E204" s="65" t="s">
        <v>248</v>
      </c>
      <c r="F204" s="40" t="s">
        <v>249</v>
      </c>
      <c r="G204" s="41" t="s">
        <v>376</v>
      </c>
      <c r="H204" s="44"/>
      <c r="I204" s="44" t="s">
        <v>251</v>
      </c>
      <c r="J204" s="44"/>
      <c r="K204" t="s">
        <v>19</v>
      </c>
    </row>
    <row r="205" spans="2:12" s="52" customFormat="1" ht="22.05" customHeight="1" x14ac:dyDescent="0.3">
      <c r="B205" s="36" t="s">
        <v>377</v>
      </c>
      <c r="C205" s="37" t="s">
        <v>17</v>
      </c>
      <c r="D205" s="131" t="s">
        <v>17</v>
      </c>
      <c r="E205" s="39" t="s">
        <v>248</v>
      </c>
      <c r="F205" s="40" t="s">
        <v>249</v>
      </c>
      <c r="G205" s="41" t="s">
        <v>378</v>
      </c>
      <c r="H205" s="44"/>
      <c r="I205" s="44" t="s">
        <v>251</v>
      </c>
      <c r="J205" s="44"/>
      <c r="K205" t="s">
        <v>19</v>
      </c>
    </row>
    <row r="206" spans="2:12" s="52" customFormat="1" ht="22.05" customHeight="1" x14ac:dyDescent="0.3">
      <c r="B206" s="36" t="s">
        <v>379</v>
      </c>
      <c r="C206" s="37" t="s">
        <v>17</v>
      </c>
      <c r="D206" s="38"/>
      <c r="E206" s="39" t="s">
        <v>248</v>
      </c>
      <c r="F206" s="40" t="s">
        <v>249</v>
      </c>
      <c r="G206" s="41" t="s">
        <v>380</v>
      </c>
      <c r="H206" s="44"/>
      <c r="I206" s="44" t="s">
        <v>251</v>
      </c>
      <c r="J206" s="44"/>
      <c r="K206" t="s">
        <v>19</v>
      </c>
    </row>
    <row r="207" spans="2:12" ht="6" customHeight="1" x14ac:dyDescent="0.3">
      <c r="B207" s="36" t="s">
        <v>381</v>
      </c>
      <c r="C207" s="37" t="s">
        <v>17</v>
      </c>
      <c r="D207" s="38"/>
      <c r="E207" s="39" t="s">
        <v>248</v>
      </c>
      <c r="F207" s="40" t="s">
        <v>249</v>
      </c>
      <c r="G207" s="41" t="s">
        <v>382</v>
      </c>
      <c r="H207" s="44"/>
      <c r="I207" s="44" t="s">
        <v>251</v>
      </c>
      <c r="J207" s="44"/>
      <c r="K207" t="s">
        <v>19</v>
      </c>
    </row>
    <row r="208" spans="2:12" ht="30" customHeight="1" x14ac:dyDescent="0.3">
      <c r="B208" s="36" t="s">
        <v>383</v>
      </c>
      <c r="C208" s="77" t="s">
        <v>17</v>
      </c>
      <c r="D208" s="38"/>
      <c r="E208" s="39" t="str">
        <f t="shared" ref="E208:F210" si="12">E$193</f>
        <v>SVT + Maths ou SVT + NSI</v>
      </c>
      <c r="F208" s="40" t="str">
        <f t="shared" si="12"/>
        <v>Maths conservée en Tle conseillée — sinon Maths compl. (option)</v>
      </c>
      <c r="G208" s="41" t="s">
        <v>384</v>
      </c>
      <c r="H208" s="44"/>
      <c r="I208" s="44" t="str">
        <f>I$193</f>
        <v>SVT+Maths | SVT+NSI</v>
      </c>
      <c r="J208" s="44"/>
      <c r="K208" t="s">
        <v>19</v>
      </c>
    </row>
    <row r="209" spans="1:12" ht="22.05" customHeight="1" x14ac:dyDescent="0.3">
      <c r="B209" s="36" t="s">
        <v>385</v>
      </c>
      <c r="C209" s="77" t="s">
        <v>17</v>
      </c>
      <c r="D209" s="38"/>
      <c r="E209" s="39" t="str">
        <f t="shared" si="12"/>
        <v>SVT + Maths ou SVT + NSI</v>
      </c>
      <c r="F209" s="40" t="str">
        <f t="shared" si="12"/>
        <v>Maths conservée en Tle conseillée — sinon Maths compl. (option)</v>
      </c>
      <c r="G209" s="41" t="s">
        <v>386</v>
      </c>
      <c r="H209" s="44"/>
      <c r="I209" s="44" t="str">
        <f>I$193</f>
        <v>SVT+Maths | SVT+NSI</v>
      </c>
      <c r="J209" s="44"/>
      <c r="K209" t="s">
        <v>19</v>
      </c>
    </row>
    <row r="210" spans="1:12" s="52" customFormat="1" ht="22.05" customHeight="1" x14ac:dyDescent="0.3">
      <c r="A210"/>
      <c r="B210" s="36" t="s">
        <v>1574</v>
      </c>
      <c r="C210" s="61" t="s">
        <v>17</v>
      </c>
      <c r="D210" s="38"/>
      <c r="E210" s="39" t="str">
        <f t="shared" si="12"/>
        <v>SVT + Maths ou SVT + NSI</v>
      </c>
      <c r="F210" s="40" t="str">
        <f t="shared" si="12"/>
        <v>Maths conservée en Tle conseillée — sinon Maths compl. (option)</v>
      </c>
      <c r="G210" s="41" t="s">
        <v>1576</v>
      </c>
      <c r="H210" s="44"/>
      <c r="I210" s="44" t="str">
        <f>I$193</f>
        <v>SVT+Maths | SVT+NSI</v>
      </c>
      <c r="J210" s="44"/>
      <c r="K210" t="s">
        <v>19</v>
      </c>
      <c r="L210"/>
    </row>
    <row r="211" spans="1:12" s="52" customFormat="1" ht="22.05" customHeight="1" x14ac:dyDescent="0.3">
      <c r="B211" s="88" t="s">
        <v>1623</v>
      </c>
      <c r="C211" s="161" t="s">
        <v>17</v>
      </c>
      <c r="D211" s="89"/>
      <c r="E211" s="39" t="str">
        <f>E$193</f>
        <v>SVT + Maths ou SVT + NSI</v>
      </c>
      <c r="F211" s="40" t="str">
        <f>F$193</f>
        <v>Maths conservée en Tle conseillée — sinon Maths compl. (option)</v>
      </c>
      <c r="G211" s="41" t="s">
        <v>1624</v>
      </c>
      <c r="H211" s="44" t="s">
        <v>1625</v>
      </c>
      <c r="I211" s="44" t="str">
        <f>I$193</f>
        <v>SVT+Maths | SVT+NSI</v>
      </c>
      <c r="J211" s="44"/>
      <c r="K211" t="s">
        <v>71</v>
      </c>
      <c r="L211"/>
    </row>
    <row r="212" spans="1:12" ht="22.05" customHeight="1" x14ac:dyDescent="0.3"/>
    <row r="213" spans="1:12" ht="22.05" customHeight="1" thickBot="1" x14ac:dyDescent="0.35">
      <c r="B213" s="33" t="s">
        <v>387</v>
      </c>
      <c r="C213" s="32"/>
      <c r="D213" s="32"/>
      <c r="E213" s="34" t="s">
        <v>388</v>
      </c>
      <c r="F213" s="35" t="s">
        <v>389</v>
      </c>
      <c r="G213" s="32"/>
      <c r="H213" s="43" t="s">
        <v>390</v>
      </c>
      <c r="I213" s="43" t="s">
        <v>391</v>
      </c>
      <c r="J213" s="43"/>
    </row>
    <row r="214" spans="1:12" ht="22.05" customHeight="1" x14ac:dyDescent="0.3">
      <c r="B214" s="36" t="s">
        <v>392</v>
      </c>
      <c r="C214" s="37" t="s">
        <v>17</v>
      </c>
      <c r="D214" s="70" t="s">
        <v>17</v>
      </c>
      <c r="E214" s="39" t="s">
        <v>388</v>
      </c>
      <c r="F214" s="40" t="s">
        <v>389</v>
      </c>
      <c r="G214" s="41" t="s">
        <v>393</v>
      </c>
      <c r="H214" s="44"/>
      <c r="I214" s="44" t="s">
        <v>391</v>
      </c>
      <c r="J214" s="44"/>
      <c r="K214" t="s">
        <v>19</v>
      </c>
    </row>
    <row r="215" spans="1:12" s="52" customFormat="1" ht="22.05" customHeight="1" x14ac:dyDescent="0.3">
      <c r="B215" s="36" t="s">
        <v>394</v>
      </c>
      <c r="C215" s="37" t="s">
        <v>17</v>
      </c>
      <c r="D215" s="38"/>
      <c r="E215" s="39" t="s">
        <v>388</v>
      </c>
      <c r="F215" s="40" t="s">
        <v>389</v>
      </c>
      <c r="G215" s="41" t="s">
        <v>395</v>
      </c>
      <c r="H215" s="44"/>
      <c r="I215" s="44" t="s">
        <v>391</v>
      </c>
      <c r="J215" s="44"/>
      <c r="K215" t="s">
        <v>19</v>
      </c>
    </row>
    <row r="216" spans="1:12" s="52" customFormat="1" ht="22.05" customHeight="1" x14ac:dyDescent="0.3">
      <c r="B216" s="36" t="s">
        <v>396</v>
      </c>
      <c r="C216" s="37" t="s">
        <v>17</v>
      </c>
      <c r="D216" s="38"/>
      <c r="E216" s="39" t="s">
        <v>388</v>
      </c>
      <c r="F216" s="40" t="s">
        <v>389</v>
      </c>
      <c r="G216" s="41" t="s">
        <v>397</v>
      </c>
      <c r="H216" s="44"/>
      <c r="I216" s="44" t="s">
        <v>391</v>
      </c>
      <c r="J216" s="44"/>
      <c r="K216" t="s">
        <v>19</v>
      </c>
    </row>
    <row r="217" spans="1:12" s="52" customFormat="1" ht="22.05" customHeight="1" x14ac:dyDescent="0.3">
      <c r="B217" s="36" t="s">
        <v>398</v>
      </c>
      <c r="C217" s="37" t="s">
        <v>17</v>
      </c>
      <c r="D217" s="38"/>
      <c r="E217" s="39" t="s">
        <v>388</v>
      </c>
      <c r="F217" s="40" t="s">
        <v>389</v>
      </c>
      <c r="G217" s="41" t="s">
        <v>399</v>
      </c>
      <c r="H217" s="44"/>
      <c r="I217" s="44" t="s">
        <v>391</v>
      </c>
      <c r="J217" s="44"/>
      <c r="K217" t="s">
        <v>19</v>
      </c>
    </row>
    <row r="218" spans="1:12" s="52" customFormat="1" ht="22.05" customHeight="1" x14ac:dyDescent="0.3">
      <c r="B218" s="36" t="s">
        <v>332</v>
      </c>
      <c r="C218" s="68" t="s">
        <v>17</v>
      </c>
      <c r="D218" s="38"/>
      <c r="E218" s="39" t="s">
        <v>388</v>
      </c>
      <c r="F218" s="40" t="s">
        <v>389</v>
      </c>
      <c r="G218" s="41" t="s">
        <v>333</v>
      </c>
      <c r="H218" s="44"/>
      <c r="I218" s="44" t="s">
        <v>391</v>
      </c>
      <c r="J218" s="44"/>
      <c r="K218" t="s">
        <v>19</v>
      </c>
    </row>
    <row r="219" spans="1:12" ht="6" customHeight="1" x14ac:dyDescent="0.3">
      <c r="B219" s="36" t="s">
        <v>400</v>
      </c>
      <c r="C219" s="77" t="s">
        <v>17</v>
      </c>
      <c r="D219" s="38"/>
      <c r="E219" s="39" t="s">
        <v>388</v>
      </c>
      <c r="F219" s="40" t="s">
        <v>389</v>
      </c>
      <c r="G219" s="41" t="s">
        <v>401</v>
      </c>
      <c r="H219" s="44"/>
      <c r="I219" s="44" t="s">
        <v>391</v>
      </c>
      <c r="J219" s="44"/>
      <c r="K219" t="s">
        <v>19</v>
      </c>
    </row>
    <row r="220" spans="1:12" ht="25.95" customHeight="1" x14ac:dyDescent="0.3">
      <c r="B220" s="36" t="s">
        <v>402</v>
      </c>
      <c r="C220" s="77" t="s">
        <v>17</v>
      </c>
      <c r="D220" s="38"/>
      <c r="E220" s="39" t="str">
        <f t="shared" ref="E220:F224" si="13">E$213</f>
        <v>SVT + HGGSP, SVT + SES ou SVT + HLP</v>
      </c>
      <c r="F220" s="40" t="str">
        <f t="shared" si="13"/>
        <v>DGEMC fortement conseillée (option Tle)</v>
      </c>
      <c r="G220" s="41" t="s">
        <v>403</v>
      </c>
      <c r="H220" s="44"/>
      <c r="I220" s="44" t="str">
        <f>I$213</f>
        <v>SVT+HGGSP | SVT+SES | SVT+HLP</v>
      </c>
      <c r="J220" s="44"/>
      <c r="K220" t="s">
        <v>19</v>
      </c>
    </row>
    <row r="221" spans="1:12" ht="22.05" customHeight="1" x14ac:dyDescent="0.3">
      <c r="B221" s="36" t="s">
        <v>404</v>
      </c>
      <c r="C221" s="90" t="s">
        <v>17</v>
      </c>
      <c r="D221" s="38"/>
      <c r="E221" s="39" t="str">
        <f t="shared" si="13"/>
        <v>SVT + HGGSP, SVT + SES ou SVT + HLP</v>
      </c>
      <c r="F221" s="40" t="str">
        <f t="shared" si="13"/>
        <v>DGEMC fortement conseillée (option Tle)</v>
      </c>
      <c r="G221" s="41" t="s">
        <v>405</v>
      </c>
      <c r="H221" s="44"/>
      <c r="I221" s="44" t="str">
        <f>I$213</f>
        <v>SVT+HGGSP | SVT+SES | SVT+HLP</v>
      </c>
      <c r="J221" s="44"/>
      <c r="K221" t="s">
        <v>19</v>
      </c>
    </row>
    <row r="222" spans="1:12" s="52" customFormat="1" ht="22.05" customHeight="1" x14ac:dyDescent="0.3">
      <c r="A222"/>
      <c r="B222" s="88" t="s">
        <v>1403</v>
      </c>
      <c r="C222" s="94" t="s">
        <v>17</v>
      </c>
      <c r="D222" s="106"/>
      <c r="E222" s="39" t="str">
        <f t="shared" si="13"/>
        <v>SVT + HGGSP, SVT + SES ou SVT + HLP</v>
      </c>
      <c r="F222" s="40" t="str">
        <f t="shared" si="13"/>
        <v>DGEMC fortement conseillée (option Tle)</v>
      </c>
      <c r="G222" s="41" t="s">
        <v>1404</v>
      </c>
      <c r="H222" s="44" t="s">
        <v>1405</v>
      </c>
      <c r="I222" s="44" t="str">
        <f>I$213</f>
        <v>SVT+HGGSP | SVT+SES | SVT+HLP</v>
      </c>
      <c r="J222" s="44"/>
      <c r="K222" s="100" t="s">
        <v>19</v>
      </c>
      <c r="L222"/>
    </row>
    <row r="223" spans="1:12" s="52" customFormat="1" ht="22.05" customHeight="1" x14ac:dyDescent="0.3">
      <c r="A223"/>
      <c r="B223" s="88" t="s">
        <v>1406</v>
      </c>
      <c r="C223" s="108" t="s">
        <v>17</v>
      </c>
      <c r="D223" s="119"/>
      <c r="E223" s="65" t="str">
        <f t="shared" si="13"/>
        <v>SVT + HGGSP, SVT + SES ou SVT + HLP</v>
      </c>
      <c r="F223" s="40" t="str">
        <f t="shared" si="13"/>
        <v>DGEMC fortement conseillée (option Tle)</v>
      </c>
      <c r="G223" s="41" t="s">
        <v>1407</v>
      </c>
      <c r="H223" s="44" t="s">
        <v>1408</v>
      </c>
      <c r="I223" s="44" t="str">
        <f>I$213</f>
        <v>SVT+HGGSP | SVT+SES | SVT+HLP</v>
      </c>
      <c r="J223" s="44"/>
      <c r="K223" s="100" t="s">
        <v>23</v>
      </c>
      <c r="L223"/>
    </row>
    <row r="224" spans="1:12" s="52" customFormat="1" ht="22.05" customHeight="1" x14ac:dyDescent="0.3">
      <c r="A224"/>
      <c r="B224" s="88" t="s">
        <v>1409</v>
      </c>
      <c r="C224" s="94" t="s">
        <v>17</v>
      </c>
      <c r="D224" s="107"/>
      <c r="E224" s="65" t="str">
        <f t="shared" si="13"/>
        <v>SVT + HGGSP, SVT + SES ou SVT + HLP</v>
      </c>
      <c r="F224" s="40" t="str">
        <f t="shared" si="13"/>
        <v>DGEMC fortement conseillée (option Tle)</v>
      </c>
      <c r="G224" s="41" t="s">
        <v>1410</v>
      </c>
      <c r="H224" s="44" t="s">
        <v>1408</v>
      </c>
      <c r="I224" s="44" t="str">
        <f>I$213</f>
        <v>SVT+HGGSP | SVT+SES | SVT+HLP</v>
      </c>
      <c r="J224" s="44"/>
      <c r="K224" s="100" t="s">
        <v>23</v>
      </c>
      <c r="L224"/>
    </row>
    <row r="225" spans="1:12" s="52" customFormat="1" ht="22.05" customHeight="1" x14ac:dyDescent="0.3">
      <c r="A225"/>
      <c r="B225" s="88" t="s">
        <v>1702</v>
      </c>
      <c r="C225" s="92" t="s">
        <v>17</v>
      </c>
      <c r="D225" s="107"/>
      <c r="E225" s="65" t="str">
        <f>E$213</f>
        <v>SVT + HGGSP, SVT + SES ou SVT + HLP</v>
      </c>
      <c r="F225" s="40" t="str">
        <f>F$213</f>
        <v>DGEMC fortement conseillée (option Tle)</v>
      </c>
      <c r="G225" s="41" t="s">
        <v>1703</v>
      </c>
      <c r="H225" s="44" t="s">
        <v>1704</v>
      </c>
      <c r="I225" s="44" t="str">
        <f>I$213</f>
        <v>SVT+HGGSP | SVT+SES | SVT+HLP</v>
      </c>
      <c r="J225" s="44"/>
      <c r="K225" s="100" t="s">
        <v>19</v>
      </c>
      <c r="L225"/>
    </row>
    <row r="226" spans="1:12" ht="22.05" customHeight="1" x14ac:dyDescent="0.3"/>
    <row r="227" spans="1:12" ht="22.05" customHeight="1" thickBot="1" x14ac:dyDescent="0.35">
      <c r="B227" s="33" t="s">
        <v>1298</v>
      </c>
      <c r="C227" s="32"/>
      <c r="D227" s="32"/>
      <c r="E227" s="34" t="s">
        <v>406</v>
      </c>
      <c r="F227" s="35" t="s">
        <v>249</v>
      </c>
      <c r="G227" s="32"/>
      <c r="H227" s="43" t="s">
        <v>407</v>
      </c>
      <c r="I227" s="43" t="s">
        <v>408</v>
      </c>
      <c r="J227" s="43"/>
    </row>
    <row r="228" spans="1:12" ht="6" customHeight="1" x14ac:dyDescent="0.3">
      <c r="B228" s="36" t="s">
        <v>409</v>
      </c>
      <c r="C228" s="37" t="s">
        <v>17</v>
      </c>
      <c r="D228" s="42" t="s">
        <v>17</v>
      </c>
      <c r="E228" s="39" t="s">
        <v>406</v>
      </c>
      <c r="F228" s="40" t="s">
        <v>249</v>
      </c>
      <c r="G228" s="41" t="s">
        <v>410</v>
      </c>
      <c r="H228" s="44"/>
      <c r="I228" s="44" t="s">
        <v>408</v>
      </c>
      <c r="J228" s="44"/>
      <c r="K228" s="87" t="s">
        <v>19</v>
      </c>
      <c r="L228" s="87"/>
    </row>
    <row r="229" spans="1:12" s="52" customFormat="1" ht="6" customHeight="1" x14ac:dyDescent="0.3">
      <c r="B229" s="36" t="s">
        <v>284</v>
      </c>
      <c r="C229" s="37" t="s">
        <v>17</v>
      </c>
      <c r="D229" s="38"/>
      <c r="E229" s="39" t="s">
        <v>406</v>
      </c>
      <c r="F229" s="40" t="s">
        <v>249</v>
      </c>
      <c r="G229" s="41" t="s">
        <v>411</v>
      </c>
      <c r="H229" s="44"/>
      <c r="I229" s="44" t="s">
        <v>408</v>
      </c>
      <c r="J229" s="44"/>
      <c r="K229" s="87" t="s">
        <v>19</v>
      </c>
      <c r="L229" s="87"/>
    </row>
    <row r="230" spans="1:12" s="52" customFormat="1" ht="6" customHeight="1" x14ac:dyDescent="0.3">
      <c r="B230" s="36" t="s">
        <v>412</v>
      </c>
      <c r="C230" s="37" t="s">
        <v>17</v>
      </c>
      <c r="D230" s="38"/>
      <c r="E230" s="39" t="s">
        <v>406</v>
      </c>
      <c r="F230" s="40" t="s">
        <v>249</v>
      </c>
      <c r="G230" s="41" t="s">
        <v>413</v>
      </c>
      <c r="H230" s="44"/>
      <c r="I230" s="44" t="s">
        <v>408</v>
      </c>
      <c r="J230" s="44"/>
      <c r="K230" s="87" t="s">
        <v>19</v>
      </c>
      <c r="L230" s="87"/>
    </row>
    <row r="231" spans="1:12" s="52" customFormat="1" ht="6" customHeight="1" x14ac:dyDescent="0.3">
      <c r="B231" s="36" t="s">
        <v>414</v>
      </c>
      <c r="C231" s="54" t="s">
        <v>17</v>
      </c>
      <c r="D231" s="38"/>
      <c r="E231" s="39" t="str">
        <f>E227</f>
        <v>SVT + Maths ou SVT + Physique-Chimie</v>
      </c>
      <c r="F231" s="40" t="str">
        <f>F227</f>
        <v>Maths conservée en Tle conseillée — sinon Maths compl. (option)</v>
      </c>
      <c r="G231" s="41" t="s">
        <v>415</v>
      </c>
      <c r="H231" s="44"/>
      <c r="I231" s="44" t="str">
        <f>I227</f>
        <v>SVT+Maths | SVT+PC</v>
      </c>
      <c r="J231" s="44"/>
      <c r="K231" t="s">
        <v>19</v>
      </c>
    </row>
    <row r="232" spans="1:12" ht="25.95" customHeight="1" x14ac:dyDescent="0.3">
      <c r="B232" s="36" t="s">
        <v>416</v>
      </c>
      <c r="C232" s="54" t="s">
        <v>17</v>
      </c>
      <c r="D232" s="38"/>
      <c r="E232" s="39" t="str">
        <f>E227</f>
        <v>SVT + Maths ou SVT + Physique-Chimie</v>
      </c>
      <c r="F232" s="40" t="str">
        <f>F227</f>
        <v>Maths conservée en Tle conseillée — sinon Maths compl. (option)</v>
      </c>
      <c r="G232" s="41" t="s">
        <v>417</v>
      </c>
      <c r="H232" s="44"/>
      <c r="I232" s="44" t="str">
        <f>I227</f>
        <v>SVT+Maths | SVT+PC</v>
      </c>
      <c r="J232" s="44"/>
      <c r="K232" t="s">
        <v>19</v>
      </c>
    </row>
    <row r="233" spans="1:12" ht="22.05" customHeight="1" x14ac:dyDescent="0.3">
      <c r="B233" s="36" t="s">
        <v>281</v>
      </c>
      <c r="C233" s="90" t="s">
        <v>17</v>
      </c>
      <c r="D233" s="38"/>
      <c r="E233" s="39" t="s">
        <v>406</v>
      </c>
      <c r="F233" s="40" t="s">
        <v>249</v>
      </c>
      <c r="G233" s="41" t="s">
        <v>282</v>
      </c>
      <c r="H233" s="44"/>
      <c r="I233" s="44" t="s">
        <v>408</v>
      </c>
      <c r="J233" s="44"/>
      <c r="K233" t="s">
        <v>19</v>
      </c>
    </row>
    <row r="234" spans="1:12" s="52" customFormat="1" ht="22.05" customHeight="1" x14ac:dyDescent="0.3">
      <c r="A234"/>
      <c r="B234" s="88" t="s">
        <v>1299</v>
      </c>
      <c r="C234" s="99" t="s">
        <v>17</v>
      </c>
      <c r="D234" s="89"/>
      <c r="E234" s="39" t="str">
        <f t="shared" ref="E234:F236" si="14">E$227</f>
        <v>SVT + Maths ou SVT + Physique-Chimie</v>
      </c>
      <c r="F234" s="40" t="str">
        <f t="shared" si="14"/>
        <v>Maths conservée en Tle conseillée — sinon Maths compl. (option)</v>
      </c>
      <c r="G234" s="41" t="s">
        <v>1300</v>
      </c>
      <c r="H234" s="44" t="str">
        <f>H$227</f>
        <v>Licences santé/bio, PASS, master épidémiologie</v>
      </c>
      <c r="I234" s="44" t="str">
        <f>I$227</f>
        <v>SVT+Maths | SVT+PC</v>
      </c>
      <c r="J234" s="44"/>
      <c r="K234" s="100" t="s">
        <v>19</v>
      </c>
      <c r="L234"/>
    </row>
    <row r="235" spans="1:12" s="52" customFormat="1" ht="22.05" customHeight="1" x14ac:dyDescent="0.3">
      <c r="A235"/>
      <c r="B235" s="88" t="s">
        <v>1301</v>
      </c>
      <c r="C235" s="99" t="s">
        <v>17</v>
      </c>
      <c r="D235" s="89"/>
      <c r="E235" s="39" t="str">
        <f t="shared" si="14"/>
        <v>SVT + Maths ou SVT + Physique-Chimie</v>
      </c>
      <c r="F235" s="40" t="str">
        <f t="shared" si="14"/>
        <v>Maths conservée en Tle conseillée — sinon Maths compl. (option)</v>
      </c>
      <c r="G235" s="41" t="s">
        <v>1302</v>
      </c>
      <c r="H235" s="44" t="s">
        <v>1303</v>
      </c>
      <c r="I235" s="44" t="str">
        <f>I$227</f>
        <v>SVT+Maths | SVT+PC</v>
      </c>
      <c r="J235" s="44"/>
      <c r="K235" s="100" t="s">
        <v>23</v>
      </c>
      <c r="L235"/>
    </row>
    <row r="236" spans="1:12" s="52" customFormat="1" ht="22.05" customHeight="1" x14ac:dyDescent="0.3">
      <c r="A236"/>
      <c r="B236" s="88" t="s">
        <v>1304</v>
      </c>
      <c r="C236" s="99" t="s">
        <v>17</v>
      </c>
      <c r="D236" s="89"/>
      <c r="E236" s="39" t="str">
        <f t="shared" si="14"/>
        <v>SVT + Maths ou SVT + Physique-Chimie</v>
      </c>
      <c r="F236" s="40" t="str">
        <f t="shared" si="14"/>
        <v>Maths conservée en Tle conseillée — sinon Maths compl. (option)</v>
      </c>
      <c r="G236" s="41" t="s">
        <v>1305</v>
      </c>
      <c r="H236" s="44" t="s">
        <v>1306</v>
      </c>
      <c r="I236" s="44" t="str">
        <f>I$227</f>
        <v>SVT+Maths | SVT+PC</v>
      </c>
      <c r="J236" s="44"/>
      <c r="K236" s="100" t="s">
        <v>19</v>
      </c>
      <c r="L236"/>
    </row>
    <row r="237" spans="1:12" s="52" customFormat="1" ht="22.05" customHeight="1" x14ac:dyDescent="0.3">
      <c r="A237"/>
      <c r="B237" s="88" t="s">
        <v>1537</v>
      </c>
      <c r="C237" s="94" t="s">
        <v>17</v>
      </c>
      <c r="D237" s="89"/>
      <c r="E237" s="39" t="s">
        <v>1538</v>
      </c>
      <c r="F237" s="40"/>
      <c r="G237" s="41" t="s">
        <v>1540</v>
      </c>
      <c r="H237" s="44" t="s">
        <v>1541</v>
      </c>
      <c r="I237" s="44" t="s">
        <v>1539</v>
      </c>
      <c r="J237" s="44"/>
      <c r="K237" s="100" t="s">
        <v>71</v>
      </c>
      <c r="L237"/>
    </row>
    <row r="238" spans="1:12" s="52" customFormat="1" ht="22.05" customHeight="1" x14ac:dyDescent="0.3">
      <c r="A238"/>
      <c r="B238" s="88" t="s">
        <v>1542</v>
      </c>
      <c r="C238" s="92" t="s">
        <v>17</v>
      </c>
      <c r="D238" s="89"/>
      <c r="E238" s="39" t="str">
        <f>E$227</f>
        <v>SVT + Maths ou SVT + Physique-Chimie</v>
      </c>
      <c r="F238" s="40" t="str">
        <f>F$227</f>
        <v>Maths conservée en Tle conseillée — sinon Maths compl. (option)</v>
      </c>
      <c r="G238" s="41" t="s">
        <v>1543</v>
      </c>
      <c r="H238" s="44" t="s">
        <v>1544</v>
      </c>
      <c r="I238" s="44" t="str">
        <f>I$227</f>
        <v>SVT+Maths | SVT+PC</v>
      </c>
      <c r="J238" s="44"/>
      <c r="K238" s="100" t="s">
        <v>71</v>
      </c>
      <c r="L238"/>
    </row>
    <row r="239" spans="1:12" ht="22.05" customHeight="1" x14ac:dyDescent="0.3">
      <c r="B239" s="52"/>
      <c r="C239" s="52"/>
      <c r="D239" s="52"/>
      <c r="E239" s="52"/>
      <c r="F239" s="52"/>
      <c r="G239" s="52"/>
      <c r="H239" s="52"/>
      <c r="I239" s="52"/>
      <c r="J239" s="52"/>
    </row>
    <row r="240" spans="1:12" s="52" customFormat="1" ht="22.05" customHeight="1" thickBot="1" x14ac:dyDescent="0.35">
      <c r="B240" s="33" t="s">
        <v>418</v>
      </c>
      <c r="C240" s="32"/>
      <c r="D240" s="32"/>
      <c r="E240" s="34" t="s">
        <v>419</v>
      </c>
      <c r="F240" s="35"/>
      <c r="G240" s="32"/>
      <c r="H240" s="43" t="s">
        <v>420</v>
      </c>
      <c r="I240" s="43" t="s">
        <v>421</v>
      </c>
      <c r="J240" s="43"/>
    </row>
    <row r="241" spans="2:12" ht="6" customHeight="1" x14ac:dyDescent="0.3">
      <c r="B241" s="36" t="s">
        <v>422</v>
      </c>
      <c r="C241" s="37" t="s">
        <v>17</v>
      </c>
      <c r="D241" s="38"/>
      <c r="E241" s="39" t="s">
        <v>419</v>
      </c>
      <c r="F241" s="40"/>
      <c r="G241" s="41" t="s">
        <v>423</v>
      </c>
      <c r="H241" s="44"/>
      <c r="I241" s="44" t="s">
        <v>421</v>
      </c>
      <c r="J241" s="44"/>
      <c r="K241" t="s">
        <v>71</v>
      </c>
    </row>
    <row r="242" spans="2:12" ht="25.95" customHeight="1" x14ac:dyDescent="0.3">
      <c r="B242" s="36" t="s">
        <v>424</v>
      </c>
      <c r="C242" s="37" t="s">
        <v>17</v>
      </c>
      <c r="D242" s="38"/>
      <c r="E242" s="39" t="s">
        <v>419</v>
      </c>
      <c r="F242" s="40"/>
      <c r="G242" s="41" t="s">
        <v>425</v>
      </c>
      <c r="H242" s="44"/>
      <c r="I242" s="44" t="s">
        <v>421</v>
      </c>
      <c r="J242" s="44"/>
      <c r="K242" s="87" t="s">
        <v>19</v>
      </c>
      <c r="L242" s="87"/>
    </row>
    <row r="243" spans="2:12" ht="22.05" customHeight="1" x14ac:dyDescent="0.3">
      <c r="B243" s="36" t="s">
        <v>426</v>
      </c>
      <c r="C243" s="77" t="s">
        <v>17</v>
      </c>
      <c r="D243" s="38"/>
      <c r="E243" s="39" t="str">
        <f>E240</f>
        <v>SVT + Physique-Chimie ou SVT + HGGSP</v>
      </c>
      <c r="F243" s="40"/>
      <c r="G243" s="41" t="s">
        <v>427</v>
      </c>
      <c r="H243" s="44"/>
      <c r="I243" s="44" t="str">
        <f>I242</f>
        <v>SVT+PC | SVT+HGGSP</v>
      </c>
      <c r="J243" s="44"/>
      <c r="K243" t="s">
        <v>71</v>
      </c>
    </row>
    <row r="244" spans="2:12" ht="6" customHeight="1" x14ac:dyDescent="0.3">
      <c r="B244" s="36" t="s">
        <v>428</v>
      </c>
      <c r="C244" s="77" t="s">
        <v>17</v>
      </c>
      <c r="D244" s="38"/>
      <c r="E244" s="39" t="s">
        <v>40</v>
      </c>
      <c r="F244" s="40"/>
      <c r="G244" s="41" t="s">
        <v>429</v>
      </c>
      <c r="H244" s="44"/>
      <c r="I244" s="44" t="s">
        <v>43</v>
      </c>
      <c r="J244" s="44"/>
      <c r="K244" t="s">
        <v>38</v>
      </c>
    </row>
    <row r="245" spans="2:12" ht="30" customHeight="1" x14ac:dyDescent="0.3">
      <c r="B245" s="36" t="s">
        <v>430</v>
      </c>
      <c r="C245" s="77" t="s">
        <v>17</v>
      </c>
      <c r="D245" s="38"/>
      <c r="E245" s="39" t="s">
        <v>419</v>
      </c>
      <c r="F245" s="40"/>
      <c r="G245" s="41" t="s">
        <v>431</v>
      </c>
      <c r="H245" s="44"/>
      <c r="I245" s="44" t="s">
        <v>421</v>
      </c>
      <c r="J245" s="44"/>
      <c r="K245" t="s">
        <v>19</v>
      </c>
    </row>
    <row r="246" spans="2:12" ht="22.05" customHeight="1" x14ac:dyDescent="0.3">
      <c r="B246" s="36" t="s">
        <v>432</v>
      </c>
      <c r="C246" s="77" t="s">
        <v>17</v>
      </c>
      <c r="D246" s="70" t="s">
        <v>17</v>
      </c>
      <c r="E246" s="39" t="s">
        <v>419</v>
      </c>
      <c r="F246" s="40"/>
      <c r="G246" s="41" t="s">
        <v>433</v>
      </c>
      <c r="H246" s="44"/>
      <c r="I246" s="44" t="s">
        <v>421</v>
      </c>
      <c r="J246" s="44"/>
      <c r="K246" t="s">
        <v>19</v>
      </c>
    </row>
    <row r="247" spans="2:12" s="52" customFormat="1" ht="22.05" customHeight="1" x14ac:dyDescent="0.3">
      <c r="B247" s="36" t="s">
        <v>434</v>
      </c>
      <c r="C247" s="77" t="s">
        <v>17</v>
      </c>
      <c r="D247" s="85"/>
      <c r="E247" s="39" t="s">
        <v>419</v>
      </c>
      <c r="F247" s="40"/>
      <c r="G247" s="41" t="s">
        <v>435</v>
      </c>
      <c r="H247" s="44"/>
      <c r="I247" s="44" t="s">
        <v>421</v>
      </c>
      <c r="J247" s="44"/>
      <c r="K247" t="s">
        <v>19</v>
      </c>
    </row>
    <row r="248" spans="2:12" s="52" customFormat="1" ht="22.05" customHeight="1" x14ac:dyDescent="0.3">
      <c r="B248" s="36" t="s">
        <v>436</v>
      </c>
      <c r="C248" s="77" t="s">
        <v>17</v>
      </c>
      <c r="D248" s="85"/>
      <c r="E248" s="39" t="s">
        <v>419</v>
      </c>
      <c r="F248" s="40"/>
      <c r="G248" s="41" t="s">
        <v>437</v>
      </c>
      <c r="H248" s="44"/>
      <c r="I248" s="44" t="s">
        <v>421</v>
      </c>
      <c r="J248" s="44"/>
      <c r="K248" t="s">
        <v>19</v>
      </c>
    </row>
    <row r="249" spans="2:12" s="52" customFormat="1" ht="22.05" customHeight="1" x14ac:dyDescent="0.3"/>
    <row r="250" spans="2:12" s="52" customFormat="1" ht="22.05" customHeight="1" thickBot="1" x14ac:dyDescent="0.35">
      <c r="B250" s="33" t="s">
        <v>1315</v>
      </c>
      <c r="C250" s="32"/>
      <c r="D250" s="32"/>
      <c r="E250" s="34" t="s">
        <v>13</v>
      </c>
      <c r="F250" s="35" t="s">
        <v>249</v>
      </c>
      <c r="G250" s="32"/>
      <c r="H250" s="43" t="s">
        <v>438</v>
      </c>
      <c r="I250" s="43" t="s">
        <v>15</v>
      </c>
      <c r="J250" s="43"/>
    </row>
    <row r="251" spans="2:12" s="52" customFormat="1" ht="22.05" customHeight="1" x14ac:dyDescent="0.3">
      <c r="B251" s="36" t="s">
        <v>439</v>
      </c>
      <c r="C251" s="101" t="s">
        <v>17</v>
      </c>
      <c r="D251" s="38"/>
      <c r="E251" s="39" t="s">
        <v>13</v>
      </c>
      <c r="F251" s="40" t="s">
        <v>249</v>
      </c>
      <c r="G251" s="41" t="s">
        <v>440</v>
      </c>
      <c r="H251" s="44"/>
      <c r="I251" s="44" t="s">
        <v>15</v>
      </c>
      <c r="J251" s="44"/>
      <c r="K251" t="s">
        <v>71</v>
      </c>
    </row>
    <row r="252" spans="2:12" s="52" customFormat="1" ht="22.05" customHeight="1" x14ac:dyDescent="0.3">
      <c r="B252" s="88" t="s">
        <v>1310</v>
      </c>
      <c r="C252" s="94" t="s">
        <v>17</v>
      </c>
      <c r="D252" s="106"/>
      <c r="E252" s="39" t="str">
        <f t="shared" ref="E252:F256" si="15">E$250</f>
        <v>SVT + Physique-Chimie ou SVT + Maths</v>
      </c>
      <c r="F252" s="40" t="str">
        <f t="shared" si="15"/>
        <v>Maths conservée en Tle conseillée — sinon Maths compl. (option)</v>
      </c>
      <c r="G252" s="41" t="s">
        <v>1311</v>
      </c>
      <c r="H252" s="44" t="str">
        <f t="shared" ref="H252:I256" si="16">H$250</f>
        <v>Prépa BCPST ou MPSI, licences physique/bio</v>
      </c>
      <c r="I252" s="44" t="str">
        <f t="shared" si="16"/>
        <v>SVT+PC | SVT+Maths</v>
      </c>
      <c r="J252" s="44"/>
      <c r="K252" s="100" t="s">
        <v>71</v>
      </c>
    </row>
    <row r="253" spans="2:12" s="52" customFormat="1" ht="22.05" customHeight="1" x14ac:dyDescent="0.3">
      <c r="B253" s="88" t="s">
        <v>1316</v>
      </c>
      <c r="C253" s="108" t="s">
        <v>17</v>
      </c>
      <c r="D253" s="105" t="s">
        <v>17</v>
      </c>
      <c r="E253" s="65" t="str">
        <f t="shared" si="15"/>
        <v>SVT + Physique-Chimie ou SVT + Maths</v>
      </c>
      <c r="F253" s="40" t="str">
        <f t="shared" si="15"/>
        <v>Maths conservée en Tle conseillée — sinon Maths compl. (option)</v>
      </c>
      <c r="G253" s="41" t="s">
        <v>1317</v>
      </c>
      <c r="H253" s="44" t="str">
        <f t="shared" si="16"/>
        <v>Prépa BCPST ou MPSI, licences physique/bio</v>
      </c>
      <c r="I253" s="44" t="str">
        <f t="shared" si="16"/>
        <v>SVT+PC | SVT+Maths</v>
      </c>
      <c r="J253" s="44"/>
      <c r="K253" s="100" t="s">
        <v>71</v>
      </c>
    </row>
    <row r="254" spans="2:12" s="52" customFormat="1" ht="22.05" customHeight="1" x14ac:dyDescent="0.3">
      <c r="B254" s="88" t="s">
        <v>1318</v>
      </c>
      <c r="C254" s="94" t="s">
        <v>17</v>
      </c>
      <c r="D254" s="109"/>
      <c r="E254" s="65" t="str">
        <f t="shared" si="15"/>
        <v>SVT + Physique-Chimie ou SVT + Maths</v>
      </c>
      <c r="F254" s="40" t="str">
        <f t="shared" si="15"/>
        <v>Maths conservée en Tle conseillée — sinon Maths compl. (option)</v>
      </c>
      <c r="G254" s="41" t="s">
        <v>1319</v>
      </c>
      <c r="H254" s="44" t="str">
        <f t="shared" si="16"/>
        <v>Prépa BCPST ou MPSI, licences physique/bio</v>
      </c>
      <c r="I254" s="44" t="str">
        <f t="shared" si="16"/>
        <v>SVT+PC | SVT+Maths</v>
      </c>
      <c r="J254" s="44"/>
      <c r="K254" s="100" t="s">
        <v>71</v>
      </c>
    </row>
    <row r="255" spans="2:12" s="52" customFormat="1" ht="22.05" customHeight="1" x14ac:dyDescent="0.3">
      <c r="B255" s="88" t="s">
        <v>1322</v>
      </c>
      <c r="C255" s="92" t="s">
        <v>17</v>
      </c>
      <c r="D255" s="109"/>
      <c r="E255" s="65" t="str">
        <f t="shared" si="15"/>
        <v>SVT + Physique-Chimie ou SVT + Maths</v>
      </c>
      <c r="F255" s="40" t="str">
        <f t="shared" si="15"/>
        <v>Maths conservée en Tle conseillée — sinon Maths compl. (option)</v>
      </c>
      <c r="G255" s="41" t="s">
        <v>1323</v>
      </c>
      <c r="H255" s="44" t="str">
        <f t="shared" si="16"/>
        <v>Prépa BCPST ou MPSI, licences physique/bio</v>
      </c>
      <c r="I255" s="44" t="str">
        <f t="shared" si="16"/>
        <v>SVT+PC | SVT+Maths</v>
      </c>
      <c r="J255" s="44"/>
      <c r="K255" s="100" t="s">
        <v>71</v>
      </c>
    </row>
    <row r="256" spans="2:12" s="52" customFormat="1" ht="22.05" customHeight="1" x14ac:dyDescent="0.3">
      <c r="B256" s="88" t="s">
        <v>1320</v>
      </c>
      <c r="C256" s="93" t="s">
        <v>17</v>
      </c>
      <c r="D256" s="109"/>
      <c r="E256" s="65" t="str">
        <f t="shared" si="15"/>
        <v>SVT + Physique-Chimie ou SVT + Maths</v>
      </c>
      <c r="F256" s="40" t="str">
        <f t="shared" si="15"/>
        <v>Maths conservée en Tle conseillée — sinon Maths compl. (option)</v>
      </c>
      <c r="G256" s="41" t="s">
        <v>1321</v>
      </c>
      <c r="H256" s="44" t="str">
        <f t="shared" si="16"/>
        <v>Prépa BCPST ou MPSI, licences physique/bio</v>
      </c>
      <c r="I256" s="44" t="str">
        <f t="shared" si="16"/>
        <v>SVT+PC | SVT+Maths</v>
      </c>
      <c r="J256" s="44"/>
      <c r="K256" s="100" t="s">
        <v>71</v>
      </c>
    </row>
    <row r="257" spans="2:11" ht="6" customHeight="1" x14ac:dyDescent="0.3"/>
    <row r="258" spans="2:11" ht="25.95" customHeight="1" thickBot="1" x14ac:dyDescent="0.35">
      <c r="B258" s="33" t="s">
        <v>441</v>
      </c>
      <c r="C258" s="32"/>
      <c r="D258" s="32"/>
      <c r="E258" s="34" t="s">
        <v>442</v>
      </c>
      <c r="F258" s="35" t="s">
        <v>443</v>
      </c>
      <c r="G258" s="32"/>
      <c r="H258" s="43" t="s">
        <v>444</v>
      </c>
      <c r="I258" s="43" t="s">
        <v>445</v>
      </c>
      <c r="J258" s="43"/>
    </row>
    <row r="259" spans="2:11" ht="22.05" customHeight="1" x14ac:dyDescent="0.3">
      <c r="B259" s="36" t="s">
        <v>446</v>
      </c>
      <c r="C259" s="37" t="s">
        <v>17</v>
      </c>
      <c r="D259" s="70" t="s">
        <v>17</v>
      </c>
      <c r="E259" s="39" t="s">
        <v>442</v>
      </c>
      <c r="F259" s="40" t="s">
        <v>443</v>
      </c>
      <c r="G259" s="41" t="s">
        <v>447</v>
      </c>
      <c r="H259" s="44"/>
      <c r="I259" s="44" t="s">
        <v>445</v>
      </c>
      <c r="J259" s="44"/>
      <c r="K259" t="s">
        <v>19</v>
      </c>
    </row>
    <row r="260" spans="2:11" s="52" customFormat="1" ht="22.05" customHeight="1" x14ac:dyDescent="0.3">
      <c r="B260" s="36" t="s">
        <v>448</v>
      </c>
      <c r="C260" s="77" t="s">
        <v>17</v>
      </c>
      <c r="D260" s="79"/>
      <c r="E260" s="39" t="str">
        <f t="shared" ref="E260:E265" si="17">E$258</f>
        <v>SVT + Maths ou SVT + SES</v>
      </c>
      <c r="F260" s="40" t="s">
        <v>443</v>
      </c>
      <c r="G260" s="41" t="s">
        <v>449</v>
      </c>
      <c r="H260" s="44"/>
      <c r="I260" s="44" t="str">
        <f t="shared" ref="I260:I265" si="18">I$258</f>
        <v>SVT+* | SVT+Maths | SVT+SES</v>
      </c>
      <c r="J260" s="44"/>
      <c r="K260" t="s">
        <v>19</v>
      </c>
    </row>
    <row r="261" spans="2:11" s="52" customFormat="1" ht="22.05" customHeight="1" x14ac:dyDescent="0.3">
      <c r="B261" s="36" t="s">
        <v>450</v>
      </c>
      <c r="C261" s="90" t="s">
        <v>17</v>
      </c>
      <c r="D261" s="79"/>
      <c r="E261" s="39" t="str">
        <f t="shared" si="17"/>
        <v>SVT + Maths ou SVT + SES</v>
      </c>
      <c r="F261" s="40"/>
      <c r="G261" s="41" t="s">
        <v>451</v>
      </c>
      <c r="H261" s="44"/>
      <c r="I261" s="44" t="str">
        <f t="shared" si="18"/>
        <v>SVT+* | SVT+Maths | SVT+SES</v>
      </c>
      <c r="J261" s="44"/>
      <c r="K261" t="s">
        <v>19</v>
      </c>
    </row>
    <row r="262" spans="2:11" s="52" customFormat="1" ht="22.05" customHeight="1" x14ac:dyDescent="0.3">
      <c r="B262" s="88" t="s">
        <v>1437</v>
      </c>
      <c r="C262" s="92" t="s">
        <v>17</v>
      </c>
      <c r="D262" s="111"/>
      <c r="E262" s="39" t="str">
        <f t="shared" si="17"/>
        <v>SVT + Maths ou SVT + SES</v>
      </c>
      <c r="F262" s="40" t="str">
        <f>F$258</f>
        <v>Maths compl. utile si Maths non conservée · DGEMC conseillée</v>
      </c>
      <c r="G262" s="41" t="s">
        <v>1438</v>
      </c>
      <c r="H262" s="44" t="s">
        <v>1439</v>
      </c>
      <c r="I262" s="44" t="str">
        <f t="shared" si="18"/>
        <v>SVT+* | SVT+Maths | SVT+SES</v>
      </c>
      <c r="J262" s="44"/>
      <c r="K262" s="100" t="s">
        <v>19</v>
      </c>
    </row>
    <row r="263" spans="2:11" s="52" customFormat="1" ht="22.05" customHeight="1" x14ac:dyDescent="0.3">
      <c r="B263" s="88" t="s">
        <v>1326</v>
      </c>
      <c r="C263" s="123" t="s">
        <v>17</v>
      </c>
      <c r="D263" s="111"/>
      <c r="E263" s="39" t="str">
        <f t="shared" si="17"/>
        <v>SVT + Maths ou SVT + SES</v>
      </c>
      <c r="F263" s="40" t="str">
        <f>F$258</f>
        <v>Maths compl. utile si Maths non conservée · DGEMC conseillée</v>
      </c>
      <c r="G263" s="41" t="s">
        <v>1327</v>
      </c>
      <c r="H263" s="44" t="s">
        <v>1328</v>
      </c>
      <c r="I263" s="44" t="str">
        <f t="shared" si="18"/>
        <v>SVT+* | SVT+Maths | SVT+SES</v>
      </c>
      <c r="J263" s="44"/>
      <c r="K263" s="100" t="s">
        <v>19</v>
      </c>
    </row>
    <row r="264" spans="2:11" s="52" customFormat="1" ht="22.05" customHeight="1" x14ac:dyDescent="0.3">
      <c r="B264" s="88" t="s">
        <v>1440</v>
      </c>
      <c r="C264" s="92" t="s">
        <v>17</v>
      </c>
      <c r="D264" s="111"/>
      <c r="E264" s="39" t="str">
        <f t="shared" si="17"/>
        <v>SVT + Maths ou SVT + SES</v>
      </c>
      <c r="F264" s="40" t="str">
        <f>F$258</f>
        <v>Maths compl. utile si Maths non conservée · DGEMC conseillée</v>
      </c>
      <c r="G264" s="41" t="s">
        <v>1441</v>
      </c>
      <c r="H264" s="44" t="s">
        <v>1442</v>
      </c>
      <c r="I264" s="44" t="str">
        <f t="shared" si="18"/>
        <v>SVT+* | SVT+Maths | SVT+SES</v>
      </c>
      <c r="J264" s="44"/>
      <c r="K264" s="100" t="s">
        <v>19</v>
      </c>
    </row>
    <row r="265" spans="2:11" ht="22.05" customHeight="1" x14ac:dyDescent="0.3">
      <c r="B265" s="36" t="s">
        <v>452</v>
      </c>
      <c r="C265" s="112" t="s">
        <v>17</v>
      </c>
      <c r="D265" s="79"/>
      <c r="E265" s="39" t="str">
        <f t="shared" si="17"/>
        <v>SVT + Maths ou SVT + SES</v>
      </c>
      <c r="F265" s="40" t="str">
        <f>F$258</f>
        <v>Maths compl. utile si Maths non conservée · DGEMC conseillée</v>
      </c>
      <c r="G265" s="41" t="s">
        <v>453</v>
      </c>
      <c r="H265" s="44"/>
      <c r="I265" s="44" t="str">
        <f t="shared" si="18"/>
        <v>SVT+* | SVT+Maths | SVT+SES</v>
      </c>
      <c r="J265" s="44"/>
      <c r="K265" t="s">
        <v>19</v>
      </c>
    </row>
    <row r="266" spans="2:11" s="52" customFormat="1" ht="22.05" customHeight="1" x14ac:dyDescent="0.3">
      <c r="B266" s="36" t="s">
        <v>383</v>
      </c>
      <c r="C266" s="77" t="s">
        <v>17</v>
      </c>
      <c r="D266" s="79"/>
      <c r="E266" s="39" t="s">
        <v>248</v>
      </c>
      <c r="F266" s="40" t="s">
        <v>249</v>
      </c>
      <c r="G266" s="41" t="s">
        <v>384</v>
      </c>
      <c r="H266" s="44"/>
      <c r="I266" s="44" t="s">
        <v>251</v>
      </c>
      <c r="J266" s="44"/>
      <c r="K266" t="s">
        <v>19</v>
      </c>
    </row>
    <row r="267" spans="2:11" s="52" customFormat="1" ht="22.05" customHeight="1" x14ac:dyDescent="0.3">
      <c r="B267" s="36" t="s">
        <v>385</v>
      </c>
      <c r="C267" s="77" t="s">
        <v>17</v>
      </c>
      <c r="D267" s="79"/>
      <c r="E267" s="39" t="s">
        <v>248</v>
      </c>
      <c r="F267" s="40" t="s">
        <v>249</v>
      </c>
      <c r="G267" s="41" t="s">
        <v>386</v>
      </c>
      <c r="H267" s="44"/>
      <c r="I267" s="44" t="s">
        <v>251</v>
      </c>
      <c r="J267" s="44"/>
      <c r="K267" t="s">
        <v>19</v>
      </c>
    </row>
    <row r="268" spans="2:11" s="52" customFormat="1" ht="22.05" customHeight="1" x14ac:dyDescent="0.3"/>
    <row r="269" spans="2:11" ht="22.05" customHeight="1" thickBot="1" x14ac:dyDescent="0.35">
      <c r="B269" s="33" t="s">
        <v>548</v>
      </c>
      <c r="C269" s="32"/>
      <c r="D269" s="32"/>
      <c r="E269" s="34" t="s">
        <v>13</v>
      </c>
      <c r="F269" s="35"/>
      <c r="G269" s="32"/>
      <c r="H269" s="43" t="s">
        <v>266</v>
      </c>
      <c r="I269" s="43" t="s">
        <v>15</v>
      </c>
      <c r="J269" s="43"/>
    </row>
    <row r="270" spans="2:11" ht="22.05" customHeight="1" x14ac:dyDescent="0.3">
      <c r="B270" s="36" t="s">
        <v>549</v>
      </c>
      <c r="C270" s="37" t="s">
        <v>17</v>
      </c>
      <c r="D270" s="38"/>
      <c r="E270" s="39" t="s">
        <v>13</v>
      </c>
      <c r="F270" s="40"/>
      <c r="G270" s="41" t="s">
        <v>550</v>
      </c>
      <c r="H270" s="44"/>
      <c r="I270" s="44" t="s">
        <v>15</v>
      </c>
      <c r="J270" s="44"/>
      <c r="K270" t="s">
        <v>19</v>
      </c>
    </row>
    <row r="271" spans="2:11" ht="22.05" customHeight="1" x14ac:dyDescent="0.3">
      <c r="B271" s="36" t="s">
        <v>134</v>
      </c>
      <c r="C271" s="68" t="s">
        <v>17</v>
      </c>
      <c r="D271" s="38"/>
      <c r="E271" s="39" t="s">
        <v>13</v>
      </c>
      <c r="F271" s="40"/>
      <c r="G271" s="41" t="s">
        <v>135</v>
      </c>
      <c r="H271" s="44"/>
      <c r="I271" s="44" t="s">
        <v>15</v>
      </c>
      <c r="J271" s="44"/>
      <c r="K271" t="s">
        <v>19</v>
      </c>
    </row>
    <row r="272" spans="2:11" ht="22.05" customHeight="1" x14ac:dyDescent="0.3">
      <c r="B272" s="36" t="s">
        <v>75</v>
      </c>
      <c r="C272" s="54" t="s">
        <v>17</v>
      </c>
      <c r="D272" s="38"/>
      <c r="E272" s="39" t="str">
        <f>E271</f>
        <v>SVT + Physique-Chimie ou SVT + Maths</v>
      </c>
      <c r="F272" s="40"/>
      <c r="G272" s="41" t="s">
        <v>76</v>
      </c>
      <c r="H272" s="44"/>
      <c r="I272" s="44" t="str">
        <f>I271</f>
        <v>SVT+PC | SVT+Maths</v>
      </c>
      <c r="J272" s="44"/>
      <c r="K272" t="s">
        <v>19</v>
      </c>
    </row>
    <row r="273" spans="2:11" ht="22.05" customHeight="1" x14ac:dyDescent="0.3">
      <c r="B273" s="36" t="s">
        <v>551</v>
      </c>
      <c r="C273" s="37" t="s">
        <v>17</v>
      </c>
      <c r="D273" s="38"/>
      <c r="E273" s="39" t="s">
        <v>13</v>
      </c>
      <c r="F273" s="40"/>
      <c r="G273" s="41" t="s">
        <v>552</v>
      </c>
      <c r="H273" s="44"/>
      <c r="I273" s="44" t="s">
        <v>15</v>
      </c>
      <c r="J273" s="44"/>
      <c r="K273" t="s">
        <v>19</v>
      </c>
    </row>
    <row r="274" spans="2:11" ht="22.05" customHeight="1" x14ac:dyDescent="0.3">
      <c r="B274" s="36" t="s">
        <v>553</v>
      </c>
      <c r="C274" s="37" t="s">
        <v>17</v>
      </c>
      <c r="D274" s="38"/>
      <c r="E274" s="39" t="s">
        <v>13</v>
      </c>
      <c r="F274" s="40"/>
      <c r="G274" s="41" t="s">
        <v>554</v>
      </c>
      <c r="H274" s="44"/>
      <c r="I274" s="44" t="s">
        <v>15</v>
      </c>
      <c r="J274" s="44"/>
      <c r="K274" t="s">
        <v>23</v>
      </c>
    </row>
    <row r="275" spans="2:11" ht="22.05" customHeight="1" x14ac:dyDescent="0.3">
      <c r="B275" s="36" t="s">
        <v>555</v>
      </c>
      <c r="C275" s="37" t="s">
        <v>17</v>
      </c>
      <c r="D275" s="38"/>
      <c r="E275" s="39" t="s">
        <v>13</v>
      </c>
      <c r="F275" s="40"/>
      <c r="G275" s="41" t="s">
        <v>556</v>
      </c>
      <c r="H275" s="44"/>
      <c r="I275" s="44" t="s">
        <v>15</v>
      </c>
      <c r="J275" s="44"/>
      <c r="K275" t="s">
        <v>71</v>
      </c>
    </row>
    <row r="276" spans="2:11" ht="6" customHeight="1" x14ac:dyDescent="0.3">
      <c r="B276" s="36" t="s">
        <v>557</v>
      </c>
      <c r="C276" s="37" t="s">
        <v>17</v>
      </c>
      <c r="D276" s="38"/>
      <c r="E276" s="39" t="s">
        <v>13</v>
      </c>
      <c r="F276" s="40"/>
      <c r="G276" s="41" t="s">
        <v>558</v>
      </c>
      <c r="H276" s="44"/>
      <c r="I276" s="44" t="s">
        <v>15</v>
      </c>
      <c r="J276" s="44"/>
      <c r="K276" t="s">
        <v>19</v>
      </c>
    </row>
    <row r="277" spans="2:11" ht="25.95" customHeight="1" x14ac:dyDescent="0.3">
      <c r="B277" s="36" t="s">
        <v>559</v>
      </c>
      <c r="C277" s="37" t="s">
        <v>17</v>
      </c>
      <c r="D277" s="38"/>
      <c r="E277" s="39" t="s">
        <v>13</v>
      </c>
      <c r="F277" s="40"/>
      <c r="G277" s="41" t="s">
        <v>560</v>
      </c>
      <c r="H277" s="44"/>
      <c r="I277" s="44" t="s">
        <v>15</v>
      </c>
      <c r="J277" s="44"/>
      <c r="K277" t="s">
        <v>19</v>
      </c>
    </row>
    <row r="278" spans="2:11" ht="22.05" customHeight="1" x14ac:dyDescent="0.3">
      <c r="B278" s="36" t="s">
        <v>561</v>
      </c>
      <c r="C278" s="37" t="s">
        <v>17</v>
      </c>
      <c r="D278" s="38"/>
      <c r="E278" s="39" t="s">
        <v>13</v>
      </c>
      <c r="F278" s="40"/>
      <c r="G278" s="41" t="s">
        <v>562</v>
      </c>
      <c r="H278" s="44"/>
      <c r="I278" s="44" t="s">
        <v>15</v>
      </c>
      <c r="J278" s="44"/>
      <c r="K278" t="s">
        <v>23</v>
      </c>
    </row>
    <row r="279" spans="2:11" ht="22.05" customHeight="1" x14ac:dyDescent="0.3">
      <c r="B279" s="36" t="s">
        <v>254</v>
      </c>
      <c r="C279" s="37" t="s">
        <v>17</v>
      </c>
      <c r="D279" s="38"/>
      <c r="E279" s="39" t="s">
        <v>13</v>
      </c>
      <c r="F279" s="40"/>
      <c r="G279" s="41" t="s">
        <v>563</v>
      </c>
      <c r="H279" s="44"/>
      <c r="I279" s="44" t="s">
        <v>15</v>
      </c>
      <c r="J279" s="44"/>
      <c r="K279" t="s">
        <v>19</v>
      </c>
    </row>
    <row r="280" spans="2:11" s="52" customFormat="1" ht="22.05" customHeight="1" x14ac:dyDescent="0.3">
      <c r="B280" s="36" t="s">
        <v>564</v>
      </c>
      <c r="C280" s="37" t="s">
        <v>17</v>
      </c>
      <c r="D280" s="38"/>
      <c r="E280" s="39" t="s">
        <v>13</v>
      </c>
      <c r="F280" s="40"/>
      <c r="G280" s="41" t="s">
        <v>565</v>
      </c>
      <c r="H280" s="44"/>
      <c r="I280" s="44" t="s">
        <v>15</v>
      </c>
      <c r="J280" s="44"/>
      <c r="K280" t="s">
        <v>19</v>
      </c>
    </row>
    <row r="281" spans="2:11" ht="22.05" customHeight="1" x14ac:dyDescent="0.3">
      <c r="B281" s="36" t="s">
        <v>566</v>
      </c>
      <c r="C281" s="37" t="s">
        <v>17</v>
      </c>
      <c r="D281" s="38"/>
      <c r="E281" s="39" t="s">
        <v>13</v>
      </c>
      <c r="F281" s="40"/>
      <c r="G281" s="41" t="s">
        <v>567</v>
      </c>
      <c r="H281" s="44"/>
      <c r="I281" s="44" t="s">
        <v>15</v>
      </c>
      <c r="J281" s="44"/>
      <c r="K281" t="s">
        <v>71</v>
      </c>
    </row>
    <row r="282" spans="2:11" ht="22.05" customHeight="1" x14ac:dyDescent="0.3">
      <c r="B282" s="36" t="s">
        <v>568</v>
      </c>
      <c r="C282" s="37" t="s">
        <v>17</v>
      </c>
      <c r="D282" s="38"/>
      <c r="E282" s="39" t="s">
        <v>13</v>
      </c>
      <c r="F282" s="40"/>
      <c r="G282" s="41" t="s">
        <v>569</v>
      </c>
      <c r="H282" s="44"/>
      <c r="I282" s="44" t="s">
        <v>15</v>
      </c>
      <c r="J282" s="44"/>
      <c r="K282" t="s">
        <v>71</v>
      </c>
    </row>
    <row r="283" spans="2:11" s="52" customFormat="1" ht="22.05" customHeight="1" x14ac:dyDescent="0.3">
      <c r="B283" s="36" t="s">
        <v>570</v>
      </c>
      <c r="C283" s="101" t="s">
        <v>17</v>
      </c>
      <c r="D283" s="38"/>
      <c r="E283" s="39" t="s">
        <v>13</v>
      </c>
      <c r="F283" s="40"/>
      <c r="G283" s="41" t="s">
        <v>571</v>
      </c>
      <c r="H283" s="44"/>
      <c r="I283" s="44" t="s">
        <v>15</v>
      </c>
      <c r="J283" s="44"/>
      <c r="K283" t="s">
        <v>19</v>
      </c>
    </row>
    <row r="284" spans="2:11" s="52" customFormat="1" ht="22.05" customHeight="1" x14ac:dyDescent="0.3">
      <c r="B284" s="88" t="s">
        <v>1513</v>
      </c>
      <c r="C284" s="94" t="s">
        <v>17</v>
      </c>
      <c r="D284" s="89"/>
      <c r="E284" s="39" t="str">
        <f>E$269</f>
        <v>SVT + Physique-Chimie ou SVT + Maths</v>
      </c>
      <c r="F284" s="40"/>
      <c r="G284" s="41" t="s">
        <v>1514</v>
      </c>
      <c r="H284" s="44" t="s">
        <v>1515</v>
      </c>
      <c r="I284" s="44" t="str">
        <f>I$269</f>
        <v>SVT+PC | SVT+Maths</v>
      </c>
      <c r="J284" s="44"/>
      <c r="K284" s="100" t="s">
        <v>71</v>
      </c>
    </row>
    <row r="285" spans="2:11" s="52" customFormat="1" ht="22.05" customHeight="1" x14ac:dyDescent="0.3">
      <c r="B285" s="88" t="s">
        <v>1565</v>
      </c>
      <c r="C285" s="92" t="s">
        <v>17</v>
      </c>
      <c r="D285" s="89"/>
      <c r="E285" s="39" t="str">
        <f>E$269</f>
        <v>SVT + Physique-Chimie ou SVT + Maths</v>
      </c>
      <c r="F285" s="40"/>
      <c r="G285" s="41" t="s">
        <v>1566</v>
      </c>
      <c r="H285" s="44" t="s">
        <v>1567</v>
      </c>
      <c r="I285" s="44" t="str">
        <f>I$269</f>
        <v>SVT+PC | SVT+Maths</v>
      </c>
      <c r="J285" s="44"/>
      <c r="K285" s="100" t="s">
        <v>71</v>
      </c>
    </row>
    <row r="286" spans="2:11" s="52" customFormat="1" ht="22.05" customHeight="1" x14ac:dyDescent="0.3">
      <c r="B286" s="88" t="s">
        <v>1605</v>
      </c>
      <c r="C286" s="61" t="s">
        <v>17</v>
      </c>
      <c r="D286" s="89"/>
      <c r="E286" s="39" t="str">
        <f>E$269</f>
        <v>SVT + Physique-Chimie ou SVT + Maths</v>
      </c>
      <c r="F286" s="40"/>
      <c r="G286" s="41" t="s">
        <v>1606</v>
      </c>
      <c r="H286" s="44" t="s">
        <v>1607</v>
      </c>
      <c r="I286" s="44" t="str">
        <f>I$269</f>
        <v>SVT+PC | SVT+Maths</v>
      </c>
      <c r="J286" s="44"/>
      <c r="K286" s="100" t="s">
        <v>71</v>
      </c>
    </row>
    <row r="287" spans="2:11" s="52" customFormat="1" ht="22.05" customHeight="1" x14ac:dyDescent="0.3">
      <c r="B287" s="88" t="s">
        <v>1614</v>
      </c>
      <c r="C287" s="162" t="s">
        <v>17</v>
      </c>
      <c r="D287" s="89"/>
      <c r="E287" s="39" t="str">
        <f>E$269</f>
        <v>SVT + Physique-Chimie ou SVT + Maths</v>
      </c>
      <c r="F287" s="40"/>
      <c r="G287" s="41" t="s">
        <v>1615</v>
      </c>
      <c r="H287" s="44" t="s">
        <v>1616</v>
      </c>
      <c r="I287" s="44" t="str">
        <f>I$269</f>
        <v>SVT+PC | SVT+Maths</v>
      </c>
      <c r="J287" s="44"/>
      <c r="K287" s="100" t="s">
        <v>71</v>
      </c>
    </row>
    <row r="288" spans="2:11" s="52" customFormat="1" ht="22.05" customHeight="1" x14ac:dyDescent="0.3">
      <c r="B288" s="88" t="s">
        <v>1617</v>
      </c>
      <c r="C288" s="161" t="s">
        <v>17</v>
      </c>
      <c r="D288" s="89"/>
      <c r="E288" s="39" t="str">
        <f>E$269</f>
        <v>SVT + Physique-Chimie ou SVT + Maths</v>
      </c>
      <c r="F288" s="40"/>
      <c r="G288" s="41" t="s">
        <v>1618</v>
      </c>
      <c r="H288" s="44" t="s">
        <v>1619</v>
      </c>
      <c r="I288" s="44" t="str">
        <f>I$269</f>
        <v>SVT+PC | SVT+Maths</v>
      </c>
      <c r="J288" s="44"/>
      <c r="K288" s="100" t="s">
        <v>71</v>
      </c>
    </row>
    <row r="289" spans="2:11" s="52" customFormat="1" ht="22.05" customHeight="1" x14ac:dyDescent="0.3"/>
    <row r="290" spans="2:11" s="52" customFormat="1" ht="22.05" customHeight="1" thickBot="1" x14ac:dyDescent="0.35">
      <c r="B290" s="33" t="s">
        <v>572</v>
      </c>
      <c r="C290" s="32"/>
      <c r="D290" s="32"/>
      <c r="E290" s="34" t="s">
        <v>13</v>
      </c>
      <c r="F290" s="35" t="s">
        <v>14</v>
      </c>
      <c r="G290" s="32"/>
      <c r="H290" s="43" t="s">
        <v>573</v>
      </c>
      <c r="I290" s="43" t="s">
        <v>15</v>
      </c>
      <c r="J290" s="43"/>
    </row>
    <row r="291" spans="2:11" s="52" customFormat="1" ht="22.05" customHeight="1" x14ac:dyDescent="0.3">
      <c r="B291" s="36" t="s">
        <v>574</v>
      </c>
      <c r="C291" s="37" t="s">
        <v>17</v>
      </c>
      <c r="D291" s="38"/>
      <c r="E291" s="39" t="s">
        <v>13</v>
      </c>
      <c r="F291" s="40" t="s">
        <v>14</v>
      </c>
      <c r="G291" s="41" t="s">
        <v>575</v>
      </c>
      <c r="H291" s="44"/>
      <c r="I291" s="44" t="s">
        <v>15</v>
      </c>
      <c r="J291" s="44"/>
      <c r="K291" t="s">
        <v>19</v>
      </c>
    </row>
    <row r="292" spans="2:11" s="52" customFormat="1" ht="22.05" customHeight="1" x14ac:dyDescent="0.3">
      <c r="B292" s="36" t="s">
        <v>576</v>
      </c>
      <c r="C292" s="90" t="s">
        <v>17</v>
      </c>
      <c r="D292" s="38"/>
      <c r="E292" s="39" t="s">
        <v>13</v>
      </c>
      <c r="F292" s="40" t="s">
        <v>14</v>
      </c>
      <c r="G292" s="41" t="s">
        <v>577</v>
      </c>
      <c r="H292" s="44"/>
      <c r="I292" s="44" t="s">
        <v>15</v>
      </c>
      <c r="J292" s="44"/>
      <c r="K292" t="s">
        <v>19</v>
      </c>
    </row>
    <row r="293" spans="2:11" s="52" customFormat="1" ht="22.05" customHeight="1" x14ac:dyDescent="0.3">
      <c r="B293" s="88" t="s">
        <v>1480</v>
      </c>
      <c r="C293" s="92" t="s">
        <v>17</v>
      </c>
      <c r="D293" s="89"/>
      <c r="E293" s="39" t="str">
        <f>E$290</f>
        <v>SVT + Physique-Chimie ou SVT + Maths</v>
      </c>
      <c r="F293" s="40" t="str">
        <f>F$290</f>
        <v>Maths compl. (option Tle) si Maths non conservée</v>
      </c>
      <c r="G293" s="41" t="s">
        <v>1481</v>
      </c>
      <c r="H293" s="44" t="s">
        <v>1482</v>
      </c>
      <c r="I293" s="44" t="str">
        <f>I$290</f>
        <v>SVT+PC | SVT+Maths</v>
      </c>
      <c r="J293" s="44"/>
      <c r="K293" s="100" t="s">
        <v>71</v>
      </c>
    </row>
    <row r="294" spans="2:11" s="52" customFormat="1" ht="22.05" customHeight="1" x14ac:dyDescent="0.3">
      <c r="B294" s="36" t="s">
        <v>578</v>
      </c>
      <c r="C294" s="122" t="s">
        <v>17</v>
      </c>
      <c r="D294" s="38"/>
      <c r="E294" s="39" t="s">
        <v>579</v>
      </c>
      <c r="F294" s="40"/>
      <c r="G294" s="41" t="s">
        <v>580</v>
      </c>
      <c r="H294" s="44"/>
      <c r="I294" s="44" t="s">
        <v>581</v>
      </c>
      <c r="J294" s="44"/>
      <c r="K294" t="s">
        <v>71</v>
      </c>
    </row>
    <row r="295" spans="2:11" s="52" customFormat="1" ht="22.05" customHeight="1" x14ac:dyDescent="0.3">
      <c r="B295" s="36" t="s">
        <v>582</v>
      </c>
      <c r="C295" s="101" t="s">
        <v>17</v>
      </c>
      <c r="D295" s="42" t="s">
        <v>17</v>
      </c>
      <c r="E295" s="39" t="s">
        <v>13</v>
      </c>
      <c r="F295" s="40" t="s">
        <v>14</v>
      </c>
      <c r="G295" s="41" t="s">
        <v>583</v>
      </c>
      <c r="H295" s="44"/>
      <c r="I295" s="44" t="s">
        <v>15</v>
      </c>
      <c r="J295" s="44"/>
      <c r="K295" t="s">
        <v>19</v>
      </c>
    </row>
    <row r="296" spans="2:11" s="52" customFormat="1" ht="22.05" customHeight="1" x14ac:dyDescent="0.3">
      <c r="B296" s="88" t="s">
        <v>1478</v>
      </c>
      <c r="C296" s="92" t="s">
        <v>17</v>
      </c>
      <c r="D296" s="127"/>
      <c r="E296" s="39" t="str">
        <f>E$290</f>
        <v>SVT + Physique-Chimie ou SVT + Maths</v>
      </c>
      <c r="F296" s="40" t="str">
        <f>F$290</f>
        <v>Maths compl. (option Tle) si Maths non conservée</v>
      </c>
      <c r="G296" s="41" t="s">
        <v>1479</v>
      </c>
      <c r="H296" s="44"/>
      <c r="I296" s="44" t="str">
        <f>I$290</f>
        <v>SVT+PC | SVT+Maths</v>
      </c>
      <c r="J296" s="44"/>
      <c r="K296" s="100" t="s">
        <v>19</v>
      </c>
    </row>
    <row r="297" spans="2:11" s="52" customFormat="1" ht="22.05" customHeight="1" x14ac:dyDescent="0.3">
      <c r="B297" s="36" t="s">
        <v>584</v>
      </c>
      <c r="C297" s="91" t="s">
        <v>17</v>
      </c>
      <c r="D297" s="38"/>
      <c r="E297" s="39" t="s">
        <v>13</v>
      </c>
      <c r="F297" s="40" t="s">
        <v>14</v>
      </c>
      <c r="G297" s="41" t="s">
        <v>585</v>
      </c>
      <c r="H297" s="44"/>
      <c r="I297" s="44" t="s">
        <v>15</v>
      </c>
      <c r="J297" s="44"/>
      <c r="K297" t="s">
        <v>38</v>
      </c>
    </row>
    <row r="298" spans="2:11" s="52" customFormat="1" ht="22.05" customHeight="1" x14ac:dyDescent="0.3">
      <c r="B298" s="36" t="s">
        <v>586</v>
      </c>
      <c r="C298" s="120" t="s">
        <v>17</v>
      </c>
      <c r="D298" s="38"/>
      <c r="E298" s="39" t="s">
        <v>13</v>
      </c>
      <c r="F298" s="40" t="s">
        <v>14</v>
      </c>
      <c r="G298" s="41" t="s">
        <v>587</v>
      </c>
      <c r="H298" s="44"/>
      <c r="I298" s="44" t="s">
        <v>15</v>
      </c>
      <c r="J298" s="44"/>
      <c r="K298" t="s">
        <v>19</v>
      </c>
    </row>
    <row r="299" spans="2:11" s="52" customFormat="1" ht="22.05" customHeight="1" x14ac:dyDescent="0.3">
      <c r="B299" s="88" t="s">
        <v>1504</v>
      </c>
      <c r="C299" s="92" t="s">
        <v>17</v>
      </c>
      <c r="D299" s="89"/>
      <c r="E299" s="39" t="s">
        <v>419</v>
      </c>
      <c r="F299" s="40"/>
      <c r="G299" s="41" t="s">
        <v>1505</v>
      </c>
      <c r="H299" s="44" t="s">
        <v>1506</v>
      </c>
      <c r="I299" s="44" t="s">
        <v>421</v>
      </c>
      <c r="J299" s="44"/>
      <c r="K299" s="97" t="s">
        <v>19</v>
      </c>
    </row>
    <row r="300" spans="2:11" s="52" customFormat="1" ht="22.05" customHeight="1" x14ac:dyDescent="0.3">
      <c r="B300" s="36" t="s">
        <v>294</v>
      </c>
      <c r="C300" s="132" t="s">
        <v>17</v>
      </c>
      <c r="D300" s="38"/>
      <c r="E300" s="39" t="str">
        <f t="shared" ref="E300:F307" si="19">E$290</f>
        <v>SVT + Physique-Chimie ou SVT + Maths</v>
      </c>
      <c r="F300" s="40" t="str">
        <f t="shared" si="19"/>
        <v>Maths compl. (option Tle) si Maths non conservée</v>
      </c>
      <c r="G300" s="41" t="s">
        <v>588</v>
      </c>
      <c r="H300" s="44"/>
      <c r="I300" s="44" t="str">
        <f t="shared" ref="I300:I307" si="20">I$290</f>
        <v>SVT+PC | SVT+Maths</v>
      </c>
      <c r="J300" s="44"/>
      <c r="K300" t="s">
        <v>19</v>
      </c>
    </row>
    <row r="301" spans="2:11" ht="6" customHeight="1" x14ac:dyDescent="0.3">
      <c r="B301" s="36" t="s">
        <v>589</v>
      </c>
      <c r="C301" s="62" t="s">
        <v>17</v>
      </c>
      <c r="D301" s="38"/>
      <c r="E301" s="39" t="str">
        <f t="shared" si="19"/>
        <v>SVT + Physique-Chimie ou SVT + Maths</v>
      </c>
      <c r="F301" s="40" t="str">
        <f t="shared" si="19"/>
        <v>Maths compl. (option Tle) si Maths non conservée</v>
      </c>
      <c r="G301" s="41" t="s">
        <v>590</v>
      </c>
      <c r="H301" s="44"/>
      <c r="I301" s="44" t="str">
        <f t="shared" si="20"/>
        <v>SVT+PC | SVT+Maths</v>
      </c>
      <c r="J301" s="44"/>
      <c r="K301" t="s">
        <v>19</v>
      </c>
    </row>
    <row r="302" spans="2:11" ht="25.95" customHeight="1" x14ac:dyDescent="0.3">
      <c r="B302" s="36" t="s">
        <v>591</v>
      </c>
      <c r="C302" s="62" t="s">
        <v>17</v>
      </c>
      <c r="D302" s="38"/>
      <c r="E302" s="39" t="str">
        <f t="shared" si="19"/>
        <v>SVT + Physique-Chimie ou SVT + Maths</v>
      </c>
      <c r="F302" s="40" t="str">
        <f t="shared" si="19"/>
        <v>Maths compl. (option Tle) si Maths non conservée</v>
      </c>
      <c r="G302" s="41" t="s">
        <v>592</v>
      </c>
      <c r="H302" s="44"/>
      <c r="I302" s="44" t="str">
        <f t="shared" si="20"/>
        <v>SVT+PC | SVT+Maths</v>
      </c>
      <c r="J302" s="44"/>
      <c r="K302" t="s">
        <v>19</v>
      </c>
    </row>
    <row r="303" spans="2:11" ht="22.05" customHeight="1" x14ac:dyDescent="0.3">
      <c r="B303" s="36" t="s">
        <v>593</v>
      </c>
      <c r="C303" s="62" t="s">
        <v>17</v>
      </c>
      <c r="D303" s="38"/>
      <c r="E303" s="39" t="str">
        <f t="shared" si="19"/>
        <v>SVT + Physique-Chimie ou SVT + Maths</v>
      </c>
      <c r="F303" s="40" t="str">
        <f t="shared" si="19"/>
        <v>Maths compl. (option Tle) si Maths non conservée</v>
      </c>
      <c r="G303" s="41" t="s">
        <v>594</v>
      </c>
      <c r="H303" s="44"/>
      <c r="I303" s="44" t="str">
        <f t="shared" si="20"/>
        <v>SVT+PC | SVT+Maths</v>
      </c>
      <c r="J303" s="44"/>
      <c r="K303" t="s">
        <v>71</v>
      </c>
    </row>
    <row r="304" spans="2:11" ht="22.05" customHeight="1" x14ac:dyDescent="0.3">
      <c r="B304" s="36" t="s">
        <v>595</v>
      </c>
      <c r="C304" s="62" t="s">
        <v>17</v>
      </c>
      <c r="D304" s="38"/>
      <c r="E304" s="39" t="str">
        <f t="shared" si="19"/>
        <v>SVT + Physique-Chimie ou SVT + Maths</v>
      </c>
      <c r="F304" s="40" t="str">
        <f t="shared" si="19"/>
        <v>Maths compl. (option Tle) si Maths non conservée</v>
      </c>
      <c r="G304" s="41" t="s">
        <v>596</v>
      </c>
      <c r="H304" s="44"/>
      <c r="I304" s="44" t="str">
        <f t="shared" si="20"/>
        <v>SVT+PC | SVT+Maths</v>
      </c>
      <c r="J304" s="44"/>
      <c r="K304" t="s">
        <v>71</v>
      </c>
    </row>
    <row r="305" spans="1:12" ht="22.05" customHeight="1" x14ac:dyDescent="0.3">
      <c r="B305" s="36" t="s">
        <v>597</v>
      </c>
      <c r="C305" s="62" t="s">
        <v>17</v>
      </c>
      <c r="D305" s="38"/>
      <c r="E305" s="39" t="str">
        <f t="shared" si="19"/>
        <v>SVT + Physique-Chimie ou SVT + Maths</v>
      </c>
      <c r="F305" s="40" t="str">
        <f t="shared" si="19"/>
        <v>Maths compl. (option Tle) si Maths non conservée</v>
      </c>
      <c r="G305" s="41" t="s">
        <v>598</v>
      </c>
      <c r="H305" s="44"/>
      <c r="I305" s="44" t="str">
        <f t="shared" si="20"/>
        <v>SVT+PC | SVT+Maths</v>
      </c>
      <c r="J305" s="44"/>
      <c r="K305" t="s">
        <v>71</v>
      </c>
    </row>
    <row r="306" spans="1:12" ht="22.05" customHeight="1" x14ac:dyDescent="0.3">
      <c r="B306" s="36" t="s">
        <v>599</v>
      </c>
      <c r="C306" s="62" t="s">
        <v>17</v>
      </c>
      <c r="D306" s="38"/>
      <c r="E306" s="39" t="str">
        <f t="shared" si="19"/>
        <v>SVT + Physique-Chimie ou SVT + Maths</v>
      </c>
      <c r="F306" s="40" t="str">
        <f t="shared" si="19"/>
        <v>Maths compl. (option Tle) si Maths non conservée</v>
      </c>
      <c r="G306" s="41" t="s">
        <v>600</v>
      </c>
      <c r="H306" s="44"/>
      <c r="I306" s="44" t="str">
        <f t="shared" si="20"/>
        <v>SVT+PC | SVT+Maths</v>
      </c>
      <c r="J306" s="44"/>
      <c r="K306" t="s">
        <v>19</v>
      </c>
    </row>
    <row r="307" spans="1:12" ht="22.05" customHeight="1" x14ac:dyDescent="0.3">
      <c r="B307" s="36" t="s">
        <v>601</v>
      </c>
      <c r="C307" s="62" t="s">
        <v>17</v>
      </c>
      <c r="D307" s="38"/>
      <c r="E307" s="39" t="str">
        <f t="shared" si="19"/>
        <v>SVT + Physique-Chimie ou SVT + Maths</v>
      </c>
      <c r="F307" s="40" t="str">
        <f t="shared" si="19"/>
        <v>Maths compl. (option Tle) si Maths non conservée</v>
      </c>
      <c r="G307" s="41" t="s">
        <v>602</v>
      </c>
      <c r="H307" s="44"/>
      <c r="I307" s="44" t="str">
        <f t="shared" si="20"/>
        <v>SVT+PC | SVT+Maths</v>
      </c>
      <c r="J307" s="44"/>
      <c r="K307" t="s">
        <v>19</v>
      </c>
    </row>
    <row r="308" spans="1:12" ht="22.05" customHeight="1" x14ac:dyDescent="0.3">
      <c r="B308" s="36" t="s">
        <v>202</v>
      </c>
      <c r="C308" s="116" t="s">
        <v>17</v>
      </c>
      <c r="D308" s="38"/>
      <c r="E308" s="39" t="s">
        <v>13</v>
      </c>
      <c r="F308" s="40" t="s">
        <v>14</v>
      </c>
      <c r="G308" s="41" t="s">
        <v>603</v>
      </c>
      <c r="H308" s="44"/>
      <c r="I308" s="44" t="s">
        <v>15</v>
      </c>
      <c r="J308" s="44"/>
      <c r="K308" t="s">
        <v>23</v>
      </c>
    </row>
    <row r="309" spans="1:12" s="52" customFormat="1" ht="22.05" customHeight="1" x14ac:dyDescent="0.3">
      <c r="A309"/>
      <c r="B309" s="88" t="s">
        <v>1365</v>
      </c>
      <c r="C309" s="94" t="s">
        <v>17</v>
      </c>
      <c r="D309" s="89"/>
      <c r="E309" s="39" t="str">
        <f t="shared" ref="E309:F312" si="21">E$290</f>
        <v>SVT + Physique-Chimie ou SVT + Maths</v>
      </c>
      <c r="F309" s="40" t="str">
        <f t="shared" si="21"/>
        <v>Maths compl. (option Tle) si Maths non conservée</v>
      </c>
      <c r="G309" s="41" t="s">
        <v>1366</v>
      </c>
      <c r="H309" s="44" t="s">
        <v>1367</v>
      </c>
      <c r="I309" s="44" t="str">
        <f>I$290</f>
        <v>SVT+PC | SVT+Maths</v>
      </c>
      <c r="J309" s="44"/>
      <c r="K309" s="100" t="s">
        <v>71</v>
      </c>
      <c r="L309"/>
    </row>
    <row r="310" spans="1:12" s="52" customFormat="1" ht="22.05" customHeight="1" x14ac:dyDescent="0.3">
      <c r="A310"/>
      <c r="B310" s="88" t="s">
        <v>1525</v>
      </c>
      <c r="C310" s="94" t="s">
        <v>17</v>
      </c>
      <c r="D310" s="89"/>
      <c r="E310" s="39" t="str">
        <f t="shared" si="21"/>
        <v>SVT + Physique-Chimie ou SVT + Maths</v>
      </c>
      <c r="F310" s="40" t="str">
        <f t="shared" si="21"/>
        <v>Maths compl. (option Tle) si Maths non conservée</v>
      </c>
      <c r="G310" s="41" t="s">
        <v>1526</v>
      </c>
      <c r="H310" s="44" t="s">
        <v>1527</v>
      </c>
      <c r="I310" s="44" t="str">
        <f>I$290</f>
        <v>SVT+PC | SVT+Maths</v>
      </c>
      <c r="J310" s="44"/>
      <c r="K310" s="100" t="s">
        <v>71</v>
      </c>
      <c r="L310"/>
    </row>
    <row r="311" spans="1:12" s="52" customFormat="1" ht="22.05" customHeight="1" x14ac:dyDescent="0.3">
      <c r="A311"/>
      <c r="B311" s="88" t="s">
        <v>1531</v>
      </c>
      <c r="C311" s="92" t="s">
        <v>17</v>
      </c>
      <c r="D311" s="89"/>
      <c r="E311" s="39" t="str">
        <f t="shared" si="21"/>
        <v>SVT + Physique-Chimie ou SVT + Maths</v>
      </c>
      <c r="F311" s="40" t="str">
        <f t="shared" si="21"/>
        <v>Maths compl. (option Tle) si Maths non conservée</v>
      </c>
      <c r="G311" s="41" t="s">
        <v>1532</v>
      </c>
      <c r="H311" s="44" t="s">
        <v>1533</v>
      </c>
      <c r="I311" s="44" t="str">
        <f>I$290</f>
        <v>SVT+PC | SVT+Maths</v>
      </c>
      <c r="J311" s="44"/>
      <c r="K311" s="100" t="s">
        <v>71</v>
      </c>
      <c r="L311"/>
    </row>
    <row r="312" spans="1:12" s="52" customFormat="1" ht="22.05" customHeight="1" x14ac:dyDescent="0.3">
      <c r="A312"/>
      <c r="B312" s="88" t="s">
        <v>1599</v>
      </c>
      <c r="C312" s="61" t="s">
        <v>17</v>
      </c>
      <c r="D312" s="89"/>
      <c r="E312" s="39" t="str">
        <f t="shared" si="21"/>
        <v>SVT + Physique-Chimie ou SVT + Maths</v>
      </c>
      <c r="F312" s="40" t="str">
        <f t="shared" si="21"/>
        <v>Maths compl. (option Tle) si Maths non conservée</v>
      </c>
      <c r="G312" s="41" t="s">
        <v>1600</v>
      </c>
      <c r="H312" s="44" t="s">
        <v>1601</v>
      </c>
      <c r="I312" s="44" t="str">
        <f>I$290</f>
        <v>SVT+PC | SVT+Maths</v>
      </c>
      <c r="J312" s="44"/>
      <c r="K312" s="100" t="s">
        <v>71</v>
      </c>
      <c r="L312"/>
    </row>
    <row r="313" spans="1:12" s="52" customFormat="1" ht="22.05" customHeight="1" x14ac:dyDescent="0.3">
      <c r="B313" s="88" t="s">
        <v>1612</v>
      </c>
      <c r="C313" s="161" t="s">
        <v>17</v>
      </c>
      <c r="D313" s="89"/>
      <c r="E313" s="39" t="str">
        <f>E$290</f>
        <v>SVT + Physique-Chimie ou SVT + Maths</v>
      </c>
      <c r="F313" s="40" t="str">
        <f>F$290</f>
        <v>Maths compl. (option Tle) si Maths non conservée</v>
      </c>
      <c r="G313" s="41" t="s">
        <v>1613</v>
      </c>
      <c r="H313" s="44" t="s">
        <v>71</v>
      </c>
      <c r="I313" s="44" t="str">
        <f>I$290</f>
        <v>SVT+PC | SVT+Maths</v>
      </c>
      <c r="J313" s="44"/>
      <c r="K313" s="100" t="s">
        <v>71</v>
      </c>
      <c r="L313"/>
    </row>
    <row r="314" spans="1:12" ht="22.05" customHeight="1" x14ac:dyDescent="0.3"/>
    <row r="315" spans="1:12" s="52" customFormat="1" ht="22.05" customHeight="1" thickBot="1" x14ac:dyDescent="0.35">
      <c r="B315" s="33" t="s">
        <v>604</v>
      </c>
      <c r="C315" s="32"/>
      <c r="D315" s="32"/>
      <c r="E315" s="34" t="s">
        <v>13</v>
      </c>
      <c r="F315" s="35" t="s">
        <v>249</v>
      </c>
      <c r="G315" s="32"/>
      <c r="H315" s="43" t="s">
        <v>605</v>
      </c>
      <c r="I315" s="43" t="s">
        <v>15</v>
      </c>
      <c r="J315" s="43"/>
    </row>
    <row r="316" spans="1:12" ht="22.05" customHeight="1" x14ac:dyDescent="0.3">
      <c r="B316" s="36" t="s">
        <v>606</v>
      </c>
      <c r="C316" s="37" t="s">
        <v>17</v>
      </c>
      <c r="D316" s="38"/>
      <c r="E316" s="39" t="s">
        <v>13</v>
      </c>
      <c r="F316" s="40" t="s">
        <v>249</v>
      </c>
      <c r="G316" s="41" t="s">
        <v>607</v>
      </c>
      <c r="H316" s="44"/>
      <c r="I316" s="44" t="s">
        <v>15</v>
      </c>
      <c r="J316" s="44"/>
      <c r="K316" t="s">
        <v>23</v>
      </c>
    </row>
    <row r="317" spans="1:12" s="52" customFormat="1" ht="22.05" customHeight="1" x14ac:dyDescent="0.3">
      <c r="B317" s="36" t="s">
        <v>608</v>
      </c>
      <c r="C317" s="101" t="s">
        <v>17</v>
      </c>
      <c r="D317" s="38"/>
      <c r="E317" s="39" t="s">
        <v>13</v>
      </c>
      <c r="F317" s="40" t="s">
        <v>249</v>
      </c>
      <c r="G317" s="41" t="s">
        <v>609</v>
      </c>
      <c r="H317" s="44"/>
      <c r="I317" s="44" t="s">
        <v>15</v>
      </c>
      <c r="J317" s="44"/>
      <c r="K317" t="s">
        <v>23</v>
      </c>
    </row>
    <row r="318" spans="1:12" s="52" customFormat="1" ht="22.05" customHeight="1" x14ac:dyDescent="0.3">
      <c r="B318" s="88" t="s">
        <v>1368</v>
      </c>
      <c r="C318" s="94" t="s">
        <v>17</v>
      </c>
      <c r="D318" s="89"/>
      <c r="E318" s="39" t="str">
        <f t="shared" ref="E318:F320" si="22">E$315</f>
        <v>SVT + Physique-Chimie ou SVT + Maths</v>
      </c>
      <c r="F318" s="40" t="str">
        <f t="shared" si="22"/>
        <v>Maths conservée en Tle conseillée — sinon Maths compl. (option)</v>
      </c>
      <c r="G318" s="41" t="s">
        <v>1369</v>
      </c>
      <c r="H318" s="44"/>
      <c r="I318" s="44" t="str">
        <f>I$315</f>
        <v>SVT+PC | SVT+Maths</v>
      </c>
      <c r="J318" s="44"/>
      <c r="K318" s="100" t="s">
        <v>23</v>
      </c>
    </row>
    <row r="319" spans="1:12" s="52" customFormat="1" ht="22.05" customHeight="1" x14ac:dyDescent="0.3">
      <c r="B319" s="88" t="s">
        <v>1370</v>
      </c>
      <c r="C319" s="94" t="s">
        <v>17</v>
      </c>
      <c r="D319" s="89"/>
      <c r="E319" s="39" t="str">
        <f t="shared" si="22"/>
        <v>SVT + Physique-Chimie ou SVT + Maths</v>
      </c>
      <c r="F319" s="40" t="str">
        <f t="shared" si="22"/>
        <v>Maths conservée en Tle conseillée — sinon Maths compl. (option)</v>
      </c>
      <c r="G319" s="41" t="s">
        <v>1371</v>
      </c>
      <c r="H319" s="44" t="s">
        <v>1372</v>
      </c>
      <c r="I319" s="44" t="str">
        <f>I$315</f>
        <v>SVT+PC | SVT+Maths</v>
      </c>
      <c r="J319" s="44"/>
      <c r="K319" s="100" t="s">
        <v>38</v>
      </c>
    </row>
    <row r="320" spans="1:12" s="52" customFormat="1" ht="22.05" customHeight="1" x14ac:dyDescent="0.3">
      <c r="B320" s="88" t="s">
        <v>1373</v>
      </c>
      <c r="C320" s="92" t="s">
        <v>17</v>
      </c>
      <c r="D320" s="89"/>
      <c r="E320" s="39" t="str">
        <f t="shared" si="22"/>
        <v>SVT + Physique-Chimie ou SVT + Maths</v>
      </c>
      <c r="F320" s="40" t="str">
        <f t="shared" si="22"/>
        <v>Maths conservée en Tle conseillée — sinon Maths compl. (option)</v>
      </c>
      <c r="G320" s="41" t="s">
        <v>1374</v>
      </c>
      <c r="H320" s="44" t="s">
        <v>1375</v>
      </c>
      <c r="I320" s="44" t="str">
        <f>I$315</f>
        <v>SVT+PC | SVT+Maths</v>
      </c>
      <c r="J320" s="44"/>
      <c r="K320" s="100" t="s">
        <v>23</v>
      </c>
    </row>
    <row r="321" spans="1:12" s="52" customFormat="1" ht="22.05" customHeight="1" x14ac:dyDescent="0.3">
      <c r="B321" s="36" t="s">
        <v>610</v>
      </c>
      <c r="C321" s="91" t="s">
        <v>17</v>
      </c>
      <c r="D321" s="38"/>
      <c r="E321" s="39" t="s">
        <v>13</v>
      </c>
      <c r="F321" s="40" t="s">
        <v>249</v>
      </c>
      <c r="G321" s="41" t="s">
        <v>611</v>
      </c>
      <c r="H321" s="44"/>
      <c r="I321" s="44" t="s">
        <v>15</v>
      </c>
      <c r="J321" s="44"/>
      <c r="K321" t="s">
        <v>19</v>
      </c>
    </row>
    <row r="322" spans="1:12" ht="6" customHeight="1" x14ac:dyDescent="0.3">
      <c r="B322" s="36" t="s">
        <v>612</v>
      </c>
      <c r="C322" s="37" t="s">
        <v>17</v>
      </c>
      <c r="D322" s="38"/>
      <c r="E322" s="39" t="s">
        <v>13</v>
      </c>
      <c r="F322" s="40" t="s">
        <v>249</v>
      </c>
      <c r="G322" s="41" t="s">
        <v>613</v>
      </c>
      <c r="H322" s="44"/>
      <c r="I322" s="44" t="s">
        <v>15</v>
      </c>
      <c r="J322" s="44"/>
      <c r="K322" t="s">
        <v>38</v>
      </c>
    </row>
    <row r="323" spans="1:12" ht="25.95" customHeight="1" x14ac:dyDescent="0.3">
      <c r="B323" s="36" t="s">
        <v>614</v>
      </c>
      <c r="C323" s="37" t="s">
        <v>17</v>
      </c>
      <c r="D323" s="42" t="s">
        <v>17</v>
      </c>
      <c r="E323" s="39" t="s">
        <v>13</v>
      </c>
      <c r="F323" s="40" t="s">
        <v>249</v>
      </c>
      <c r="G323" s="41" t="s">
        <v>615</v>
      </c>
      <c r="H323" s="44"/>
      <c r="I323" s="44" t="s">
        <v>15</v>
      </c>
      <c r="J323" s="44"/>
      <c r="K323" t="s">
        <v>19</v>
      </c>
    </row>
    <row r="324" spans="1:12" ht="22.05" customHeight="1" x14ac:dyDescent="0.3">
      <c r="B324" s="36" t="s">
        <v>616</v>
      </c>
      <c r="C324" s="37" t="s">
        <v>17</v>
      </c>
      <c r="D324" s="38"/>
      <c r="E324" s="39" t="s">
        <v>13</v>
      </c>
      <c r="F324" s="40" t="s">
        <v>249</v>
      </c>
      <c r="G324" s="41" t="s">
        <v>617</v>
      </c>
      <c r="H324" s="44"/>
      <c r="I324" s="44" t="s">
        <v>15</v>
      </c>
      <c r="J324" s="44"/>
      <c r="K324" s="87" t="s">
        <v>19</v>
      </c>
      <c r="L324" s="87"/>
    </row>
    <row r="325" spans="1:12" ht="22.05" customHeight="1" x14ac:dyDescent="0.3">
      <c r="B325" s="36" t="s">
        <v>470</v>
      </c>
      <c r="C325" s="54" t="s">
        <v>17</v>
      </c>
      <c r="D325" s="38"/>
      <c r="E325" s="39" t="s">
        <v>618</v>
      </c>
      <c r="F325" s="40" t="s">
        <v>619</v>
      </c>
      <c r="G325" s="41" t="s">
        <v>471</v>
      </c>
      <c r="H325" s="44"/>
      <c r="I325" s="44" t="s">
        <v>620</v>
      </c>
      <c r="J325" s="44" t="s">
        <v>621</v>
      </c>
      <c r="K325" t="s">
        <v>23</v>
      </c>
    </row>
    <row r="326" spans="1:12" ht="22.05" customHeight="1" x14ac:dyDescent="0.3">
      <c r="B326" s="36"/>
      <c r="C326" s="37"/>
      <c r="D326" s="38"/>
      <c r="E326" s="39"/>
      <c r="F326" s="40"/>
      <c r="G326" s="41"/>
      <c r="H326" s="44"/>
      <c r="I326" s="44"/>
      <c r="J326" s="44"/>
    </row>
    <row r="327" spans="1:12" ht="22.05" customHeight="1" x14ac:dyDescent="0.3">
      <c r="B327" s="36" t="s">
        <v>622</v>
      </c>
      <c r="C327" s="101" t="s">
        <v>17</v>
      </c>
      <c r="D327" s="38"/>
      <c r="E327" s="39" t="s">
        <v>13</v>
      </c>
      <c r="F327" s="40" t="s">
        <v>249</v>
      </c>
      <c r="G327" s="41" t="s">
        <v>623</v>
      </c>
      <c r="H327" s="44"/>
      <c r="I327" s="44" t="s">
        <v>15</v>
      </c>
      <c r="J327" s="44"/>
      <c r="K327" s="87" t="s">
        <v>19</v>
      </c>
      <c r="L327" s="87"/>
    </row>
    <row r="328" spans="1:12" s="52" customFormat="1" ht="22.05" customHeight="1" x14ac:dyDescent="0.3">
      <c r="A328"/>
      <c r="B328" s="88" t="s">
        <v>1376</v>
      </c>
      <c r="C328" s="92" t="s">
        <v>17</v>
      </c>
      <c r="D328" s="89"/>
      <c r="E328" s="39" t="str">
        <f>E$315</f>
        <v>SVT + Physique-Chimie ou SVT + Maths</v>
      </c>
      <c r="F328" s="40" t="str">
        <f>F$315</f>
        <v>Maths conservée en Tle conseillée — sinon Maths compl. (option)</v>
      </c>
      <c r="G328" s="41" t="s">
        <v>1377</v>
      </c>
      <c r="H328" s="44" t="s">
        <v>1378</v>
      </c>
      <c r="I328" s="44" t="str">
        <f>I$315</f>
        <v>SVT+PC | SVT+Maths</v>
      </c>
      <c r="J328" s="44"/>
      <c r="K328" s="100" t="s">
        <v>71</v>
      </c>
      <c r="L328" s="87"/>
    </row>
    <row r="329" spans="1:12" s="52" customFormat="1" ht="22.05" customHeight="1" x14ac:dyDescent="0.3">
      <c r="B329" s="36" t="s">
        <v>624</v>
      </c>
      <c r="C329" s="110" t="s">
        <v>17</v>
      </c>
      <c r="D329" s="38"/>
      <c r="E329" s="39" t="s">
        <v>618</v>
      </c>
      <c r="F329" s="40" t="s">
        <v>619</v>
      </c>
      <c r="G329" s="41" t="s">
        <v>625</v>
      </c>
      <c r="H329" s="44"/>
      <c r="I329" s="44" t="s">
        <v>620</v>
      </c>
      <c r="J329" s="44" t="s">
        <v>621</v>
      </c>
      <c r="K329" t="s">
        <v>19</v>
      </c>
    </row>
    <row r="330" spans="1:12" s="52" customFormat="1" ht="22.05" customHeight="1" x14ac:dyDescent="0.3">
      <c r="B330" s="36" t="s">
        <v>626</v>
      </c>
      <c r="C330" s="90" t="s">
        <v>17</v>
      </c>
      <c r="D330" s="38"/>
      <c r="E330" s="39" t="s">
        <v>618</v>
      </c>
      <c r="F330" s="40" t="s">
        <v>619</v>
      </c>
      <c r="G330" s="41" t="s">
        <v>627</v>
      </c>
      <c r="H330" s="44"/>
      <c r="I330" s="44" t="s">
        <v>620</v>
      </c>
      <c r="J330" s="44" t="s">
        <v>621</v>
      </c>
      <c r="K330" t="s">
        <v>23</v>
      </c>
    </row>
    <row r="331" spans="1:12" s="52" customFormat="1" ht="22.05" customHeight="1" x14ac:dyDescent="0.3">
      <c r="B331" s="88" t="s">
        <v>1379</v>
      </c>
      <c r="C331" s="94" t="s">
        <v>17</v>
      </c>
      <c r="D331" s="89"/>
      <c r="E331" s="39" t="str">
        <f t="shared" ref="E331:F334" si="23">E$315</f>
        <v>SVT + Physique-Chimie ou SVT + Maths</v>
      </c>
      <c r="F331" s="40" t="str">
        <f t="shared" si="23"/>
        <v>Maths conservée en Tle conseillée — sinon Maths compl. (option)</v>
      </c>
      <c r="G331" s="41" t="s">
        <v>1380</v>
      </c>
      <c r="H331" s="44"/>
      <c r="I331" s="44" t="str">
        <f>I$315</f>
        <v>SVT+PC | SVT+Maths</v>
      </c>
      <c r="J331" s="44"/>
      <c r="K331" s="100" t="s">
        <v>19</v>
      </c>
    </row>
    <row r="332" spans="1:12" s="52" customFormat="1" ht="22.05" customHeight="1" x14ac:dyDescent="0.3">
      <c r="B332" s="88" t="s">
        <v>534</v>
      </c>
      <c r="C332" s="94" t="s">
        <v>17</v>
      </c>
      <c r="D332" s="89"/>
      <c r="E332" s="39" t="str">
        <f t="shared" si="23"/>
        <v>SVT + Physique-Chimie ou SVT + Maths</v>
      </c>
      <c r="F332" s="40" t="str">
        <f t="shared" si="23"/>
        <v>Maths conservée en Tle conseillée — sinon Maths compl. (option)</v>
      </c>
      <c r="G332" s="41" t="s">
        <v>1381</v>
      </c>
      <c r="H332" s="44"/>
      <c r="I332" s="44" t="str">
        <f>I$315</f>
        <v>SVT+PC | SVT+Maths</v>
      </c>
      <c r="J332" s="44"/>
      <c r="K332" s="100" t="s">
        <v>19</v>
      </c>
    </row>
    <row r="333" spans="1:12" s="52" customFormat="1" ht="22.05" customHeight="1" x14ac:dyDescent="0.3">
      <c r="B333" s="88" t="s">
        <v>1382</v>
      </c>
      <c r="C333" s="94" t="s">
        <v>17</v>
      </c>
      <c r="D333" s="89"/>
      <c r="E333" s="39" t="str">
        <f t="shared" si="23"/>
        <v>SVT + Physique-Chimie ou SVT + Maths</v>
      </c>
      <c r="F333" s="40" t="str">
        <f t="shared" si="23"/>
        <v>Maths conservée en Tle conseillée — sinon Maths compl. (option)</v>
      </c>
      <c r="G333" s="41" t="s">
        <v>1383</v>
      </c>
      <c r="H333" s="44"/>
      <c r="I333" s="44" t="str">
        <f>I$315</f>
        <v>SVT+PC | SVT+Maths</v>
      </c>
      <c r="J333" s="44"/>
      <c r="K333" s="100" t="s">
        <v>19</v>
      </c>
    </row>
    <row r="334" spans="1:12" s="52" customFormat="1" ht="22.05" customHeight="1" x14ac:dyDescent="0.3">
      <c r="B334" s="88" t="s">
        <v>1384</v>
      </c>
      <c r="C334" s="94" t="s">
        <v>17</v>
      </c>
      <c r="D334" s="89"/>
      <c r="E334" s="39" t="str">
        <f t="shared" si="23"/>
        <v>SVT + Physique-Chimie ou SVT + Maths</v>
      </c>
      <c r="F334" s="40" t="str">
        <f t="shared" si="23"/>
        <v>Maths conservée en Tle conseillée — sinon Maths compl. (option)</v>
      </c>
      <c r="G334" s="41" t="s">
        <v>1385</v>
      </c>
      <c r="H334" s="44"/>
      <c r="I334" s="44" t="str">
        <f>I$315</f>
        <v>SVT+PC | SVT+Maths</v>
      </c>
      <c r="J334" s="44"/>
      <c r="K334" s="100" t="s">
        <v>19</v>
      </c>
    </row>
    <row r="335" spans="1:12" s="52" customFormat="1" ht="22.05" customHeight="1" x14ac:dyDescent="0.3">
      <c r="B335" s="88" t="s">
        <v>1386</v>
      </c>
      <c r="C335" s="92" t="s">
        <v>17</v>
      </c>
      <c r="D335" s="89"/>
      <c r="E335" s="39" t="s">
        <v>477</v>
      </c>
      <c r="F335" s="40"/>
      <c r="G335" s="41" t="s">
        <v>1387</v>
      </c>
      <c r="H335" s="44"/>
      <c r="I335" s="44" t="s">
        <v>1270</v>
      </c>
      <c r="J335" s="44"/>
      <c r="K335" s="100" t="s">
        <v>38</v>
      </c>
    </row>
    <row r="336" spans="1:12" s="52" customFormat="1" ht="22.05" customHeight="1" x14ac:dyDescent="0.3"/>
    <row r="337" spans="1:12" s="52" customFormat="1" ht="22.05" customHeight="1" thickBot="1" x14ac:dyDescent="0.35">
      <c r="B337" s="33" t="s">
        <v>628</v>
      </c>
      <c r="C337" s="32"/>
      <c r="D337" s="32"/>
      <c r="E337" s="34" t="s">
        <v>13</v>
      </c>
      <c r="F337" s="35" t="s">
        <v>14</v>
      </c>
      <c r="G337" s="32"/>
      <c r="H337" s="43" t="s">
        <v>629</v>
      </c>
      <c r="I337" s="43" t="s">
        <v>15</v>
      </c>
      <c r="J337" s="43"/>
    </row>
    <row r="338" spans="1:12" ht="6" customHeight="1" x14ac:dyDescent="0.3">
      <c r="B338" s="36" t="s">
        <v>630</v>
      </c>
      <c r="C338" s="101" t="s">
        <v>17</v>
      </c>
      <c r="D338" s="38"/>
      <c r="E338" s="39" t="s">
        <v>13</v>
      </c>
      <c r="F338" s="40" t="s">
        <v>14</v>
      </c>
      <c r="G338" s="41" t="s">
        <v>631</v>
      </c>
      <c r="H338" s="44"/>
      <c r="I338" s="44" t="s">
        <v>15</v>
      </c>
      <c r="J338" s="44"/>
      <c r="K338" t="s">
        <v>19</v>
      </c>
    </row>
    <row r="339" spans="1:12" s="52" customFormat="1" ht="6" customHeight="1" x14ac:dyDescent="0.3">
      <c r="A339"/>
      <c r="B339" s="88" t="s">
        <v>1483</v>
      </c>
      <c r="C339" s="94" t="s">
        <v>17</v>
      </c>
      <c r="D339" s="89"/>
      <c r="E339" s="39" t="str">
        <f t="shared" ref="E339:F341" si="24">E$337</f>
        <v>SVT + Physique-Chimie ou SVT + Maths</v>
      </c>
      <c r="F339" s="40" t="str">
        <f t="shared" si="24"/>
        <v>Maths compl. (option Tle) si Maths non conservée</v>
      </c>
      <c r="G339" s="41" t="s">
        <v>1484</v>
      </c>
      <c r="H339" s="44" t="s">
        <v>1485</v>
      </c>
      <c r="I339" s="44" t="str">
        <f>I$337</f>
        <v>SVT+PC | SVT+Maths</v>
      </c>
      <c r="J339" s="44"/>
      <c r="K339" s="100" t="s">
        <v>71</v>
      </c>
      <c r="L339"/>
    </row>
    <row r="340" spans="1:12" s="52" customFormat="1" ht="6" customHeight="1" x14ac:dyDescent="0.3">
      <c r="A340"/>
      <c r="B340" s="88" t="s">
        <v>1486</v>
      </c>
      <c r="C340" s="94" t="s">
        <v>17</v>
      </c>
      <c r="D340" s="89"/>
      <c r="E340" s="39" t="str">
        <f t="shared" si="24"/>
        <v>SVT + Physique-Chimie ou SVT + Maths</v>
      </c>
      <c r="F340" s="40" t="str">
        <f t="shared" si="24"/>
        <v>Maths compl. (option Tle) si Maths non conservée</v>
      </c>
      <c r="G340" s="41" t="s">
        <v>1487</v>
      </c>
      <c r="H340" s="44" t="s">
        <v>1488</v>
      </c>
      <c r="I340" s="44" t="str">
        <f>I$337</f>
        <v>SVT+PC | SVT+Maths</v>
      </c>
      <c r="J340" s="44"/>
      <c r="K340" s="100" t="s">
        <v>19</v>
      </c>
      <c r="L340"/>
    </row>
    <row r="341" spans="1:12" s="52" customFormat="1" ht="6" customHeight="1" x14ac:dyDescent="0.3">
      <c r="A341"/>
      <c r="B341" s="88" t="s">
        <v>1489</v>
      </c>
      <c r="C341" s="92" t="s">
        <v>17</v>
      </c>
      <c r="D341" s="89"/>
      <c r="E341" s="39" t="str">
        <f t="shared" si="24"/>
        <v>SVT + Physique-Chimie ou SVT + Maths</v>
      </c>
      <c r="F341" s="40" t="str">
        <f t="shared" si="24"/>
        <v>Maths compl. (option Tle) si Maths non conservée</v>
      </c>
      <c r="G341" s="41" t="s">
        <v>1490</v>
      </c>
      <c r="H341" s="44" t="s">
        <v>1491</v>
      </c>
      <c r="I341" s="44" t="str">
        <f>I$337</f>
        <v>SVT+PC | SVT+Maths</v>
      </c>
      <c r="J341" s="44"/>
      <c r="K341" s="100" t="s">
        <v>71</v>
      </c>
      <c r="L341"/>
    </row>
    <row r="342" spans="1:12" ht="25.95" customHeight="1" x14ac:dyDescent="0.3">
      <c r="B342" s="36" t="s">
        <v>632</v>
      </c>
      <c r="C342" s="91" t="s">
        <v>17</v>
      </c>
      <c r="D342" s="38"/>
      <c r="E342" s="39" t="s">
        <v>13</v>
      </c>
      <c r="F342" s="40" t="s">
        <v>14</v>
      </c>
      <c r="G342" s="41" t="s">
        <v>633</v>
      </c>
      <c r="H342" s="44"/>
      <c r="I342" s="44" t="s">
        <v>15</v>
      </c>
      <c r="J342" s="44"/>
      <c r="K342" t="s">
        <v>23</v>
      </c>
    </row>
    <row r="343" spans="1:12" ht="22.05" customHeight="1" x14ac:dyDescent="0.3">
      <c r="B343" s="36" t="s">
        <v>634</v>
      </c>
      <c r="C343" s="37" t="s">
        <v>17</v>
      </c>
      <c r="D343" s="38"/>
      <c r="E343" s="39" t="s">
        <v>13</v>
      </c>
      <c r="F343" s="40" t="s">
        <v>14</v>
      </c>
      <c r="G343" s="41" t="s">
        <v>635</v>
      </c>
      <c r="H343" s="44"/>
      <c r="I343" s="44" t="s">
        <v>15</v>
      </c>
      <c r="J343" s="44"/>
      <c r="K343" t="s">
        <v>19</v>
      </c>
    </row>
    <row r="344" spans="1:12" ht="22.05" customHeight="1" x14ac:dyDescent="0.3">
      <c r="B344" s="36" t="s">
        <v>636</v>
      </c>
      <c r="C344" s="37" t="s">
        <v>17</v>
      </c>
      <c r="D344" s="38"/>
      <c r="E344" s="39" t="s">
        <v>13</v>
      </c>
      <c r="F344" s="40" t="s">
        <v>14</v>
      </c>
      <c r="G344" s="41" t="s">
        <v>637</v>
      </c>
      <c r="H344" s="44"/>
      <c r="I344" s="44" t="s">
        <v>15</v>
      </c>
      <c r="J344" s="44"/>
      <c r="K344" t="s">
        <v>19</v>
      </c>
    </row>
    <row r="345" spans="1:12" ht="22.05" customHeight="1" x14ac:dyDescent="0.3">
      <c r="B345" s="36" t="s">
        <v>638</v>
      </c>
      <c r="C345" s="60" t="s">
        <v>17</v>
      </c>
      <c r="D345" s="38"/>
      <c r="E345" s="39" t="s">
        <v>13</v>
      </c>
      <c r="F345" s="40" t="s">
        <v>14</v>
      </c>
      <c r="G345" s="41" t="s">
        <v>639</v>
      </c>
      <c r="H345" s="44"/>
      <c r="I345" s="44" t="s">
        <v>15</v>
      </c>
      <c r="J345" s="44"/>
      <c r="K345" t="s">
        <v>19</v>
      </c>
    </row>
    <row r="346" spans="1:12" ht="22.05" customHeight="1" x14ac:dyDescent="0.3">
      <c r="B346" s="36" t="s">
        <v>640</v>
      </c>
      <c r="C346" s="60" t="s">
        <v>17</v>
      </c>
      <c r="D346" s="38"/>
      <c r="E346" s="39" t="s">
        <v>13</v>
      </c>
      <c r="F346" s="40" t="s">
        <v>14</v>
      </c>
      <c r="G346" s="41" t="s">
        <v>641</v>
      </c>
      <c r="H346" s="44"/>
      <c r="I346" s="44" t="s">
        <v>15</v>
      </c>
      <c r="J346" s="44"/>
      <c r="K346" t="s">
        <v>19</v>
      </c>
    </row>
    <row r="347" spans="1:12" ht="22.05" customHeight="1" x14ac:dyDescent="0.3">
      <c r="B347" s="36" t="s">
        <v>642</v>
      </c>
      <c r="C347" s="60" t="s">
        <v>17</v>
      </c>
      <c r="D347" s="38"/>
      <c r="E347" s="39" t="s">
        <v>13</v>
      </c>
      <c r="F347" s="40" t="s">
        <v>14</v>
      </c>
      <c r="G347" s="41" t="s">
        <v>643</v>
      </c>
      <c r="H347" s="44"/>
      <c r="I347" s="44" t="s">
        <v>15</v>
      </c>
      <c r="J347" s="44"/>
      <c r="K347" t="s">
        <v>38</v>
      </c>
    </row>
    <row r="348" spans="1:12" s="52" customFormat="1" ht="22.05" customHeight="1" x14ac:dyDescent="0.3">
      <c r="B348" s="36" t="s">
        <v>202</v>
      </c>
      <c r="C348" s="62" t="s">
        <v>17</v>
      </c>
      <c r="D348" s="38"/>
      <c r="E348" s="39" t="s">
        <v>13</v>
      </c>
      <c r="F348" s="40" t="s">
        <v>14</v>
      </c>
      <c r="G348" s="41" t="s">
        <v>603</v>
      </c>
      <c r="H348" s="44"/>
      <c r="I348" s="44" t="s">
        <v>15</v>
      </c>
      <c r="J348" s="44"/>
      <c r="K348" t="s">
        <v>23</v>
      </c>
    </row>
    <row r="349" spans="1:12" s="52" customFormat="1" ht="22.05" customHeight="1" x14ac:dyDescent="0.3"/>
    <row r="350" spans="1:12" s="52" customFormat="1" ht="22.05" customHeight="1" thickBot="1" x14ac:dyDescent="0.35">
      <c r="B350" s="33" t="s">
        <v>644</v>
      </c>
      <c r="C350" s="32"/>
      <c r="D350" s="32"/>
      <c r="E350" s="34" t="s">
        <v>13</v>
      </c>
      <c r="F350" s="35" t="s">
        <v>249</v>
      </c>
      <c r="G350" s="32"/>
      <c r="H350" s="43" t="s">
        <v>645</v>
      </c>
      <c r="I350" s="43" t="s">
        <v>15</v>
      </c>
      <c r="J350" s="43"/>
    </row>
    <row r="351" spans="1:12" s="52" customFormat="1" ht="22.05" customHeight="1" x14ac:dyDescent="0.3">
      <c r="B351" s="36" t="s">
        <v>646</v>
      </c>
      <c r="C351" s="37" t="s">
        <v>17</v>
      </c>
      <c r="D351" s="70" t="s">
        <v>17</v>
      </c>
      <c r="E351" s="39" t="s">
        <v>13</v>
      </c>
      <c r="F351" s="40" t="s">
        <v>249</v>
      </c>
      <c r="G351" s="41" t="s">
        <v>647</v>
      </c>
      <c r="H351" s="44"/>
      <c r="I351" s="44" t="s">
        <v>15</v>
      </c>
      <c r="J351" s="44"/>
      <c r="K351" t="s">
        <v>19</v>
      </c>
    </row>
    <row r="352" spans="1:12" ht="6" customHeight="1" x14ac:dyDescent="0.3">
      <c r="B352" s="36" t="s">
        <v>648</v>
      </c>
      <c r="C352" s="37" t="s">
        <v>17</v>
      </c>
      <c r="D352" s="38"/>
      <c r="E352" s="39" t="s">
        <v>13</v>
      </c>
      <c r="F352" s="40" t="s">
        <v>249</v>
      </c>
      <c r="G352" s="41" t="s">
        <v>649</v>
      </c>
      <c r="H352" s="44"/>
      <c r="I352" s="44" t="s">
        <v>15</v>
      </c>
      <c r="J352" s="44"/>
      <c r="K352" t="s">
        <v>19</v>
      </c>
    </row>
    <row r="353" spans="1:12" ht="25.95" customHeight="1" x14ac:dyDescent="0.3">
      <c r="B353" s="36" t="s">
        <v>650</v>
      </c>
      <c r="C353" s="37" t="s">
        <v>17</v>
      </c>
      <c r="D353" s="38"/>
      <c r="E353" s="39" t="s">
        <v>13</v>
      </c>
      <c r="F353" s="40" t="s">
        <v>249</v>
      </c>
      <c r="G353" s="41" t="s">
        <v>651</v>
      </c>
      <c r="H353" s="44"/>
      <c r="I353" s="44" t="s">
        <v>15</v>
      </c>
      <c r="J353" s="44"/>
      <c r="K353" t="s">
        <v>19</v>
      </c>
    </row>
    <row r="354" spans="1:12" ht="22.05" customHeight="1" x14ac:dyDescent="0.3">
      <c r="B354" s="36" t="s">
        <v>652</v>
      </c>
      <c r="C354" s="37" t="s">
        <v>17</v>
      </c>
      <c r="D354" s="38"/>
      <c r="E354" s="39" t="s">
        <v>13</v>
      </c>
      <c r="F354" s="40" t="s">
        <v>249</v>
      </c>
      <c r="G354" s="41" t="s">
        <v>653</v>
      </c>
      <c r="H354" s="44"/>
      <c r="I354" s="44" t="s">
        <v>15</v>
      </c>
      <c r="J354" s="44"/>
      <c r="K354" t="s">
        <v>19</v>
      </c>
    </row>
    <row r="355" spans="1:12" ht="22.05" customHeight="1" x14ac:dyDescent="0.3">
      <c r="B355" s="36" t="s">
        <v>654</v>
      </c>
      <c r="C355" s="37" t="s">
        <v>17</v>
      </c>
      <c r="D355" s="38"/>
      <c r="E355" s="39" t="s">
        <v>13</v>
      </c>
      <c r="F355" s="40" t="s">
        <v>249</v>
      </c>
      <c r="G355" s="41" t="s">
        <v>655</v>
      </c>
      <c r="H355" s="44"/>
      <c r="I355" s="44" t="s">
        <v>15</v>
      </c>
      <c r="J355" s="44"/>
      <c r="K355" t="s">
        <v>19</v>
      </c>
    </row>
    <row r="356" spans="1:12" s="52" customFormat="1" ht="22.05" customHeight="1" x14ac:dyDescent="0.3">
      <c r="B356" s="36" t="s">
        <v>656</v>
      </c>
      <c r="C356" s="60" t="s">
        <v>17</v>
      </c>
      <c r="D356" s="38"/>
      <c r="E356" s="39" t="s">
        <v>13</v>
      </c>
      <c r="F356" s="40" t="s">
        <v>249</v>
      </c>
      <c r="G356" s="41" t="s">
        <v>657</v>
      </c>
      <c r="H356" s="44"/>
      <c r="I356" s="44" t="s">
        <v>15</v>
      </c>
      <c r="J356" s="44"/>
      <c r="K356" t="s">
        <v>19</v>
      </c>
    </row>
    <row r="357" spans="1:12" ht="6" customHeight="1" x14ac:dyDescent="0.3">
      <c r="B357" s="36" t="s">
        <v>586</v>
      </c>
      <c r="C357" s="60" t="s">
        <v>17</v>
      </c>
      <c r="D357" s="38"/>
      <c r="E357" s="39" t="s">
        <v>13</v>
      </c>
      <c r="F357" s="40" t="s">
        <v>249</v>
      </c>
      <c r="G357" s="41" t="s">
        <v>587</v>
      </c>
      <c r="H357" s="44"/>
      <c r="I357" s="44" t="s">
        <v>15</v>
      </c>
      <c r="J357" s="44"/>
      <c r="K357" t="s">
        <v>19</v>
      </c>
    </row>
    <row r="358" spans="1:12" ht="25.95" customHeight="1" x14ac:dyDescent="0.3">
      <c r="B358" s="36" t="s">
        <v>658</v>
      </c>
      <c r="C358" s="120" t="s">
        <v>17</v>
      </c>
      <c r="D358" s="38"/>
      <c r="E358" s="39" t="s">
        <v>465</v>
      </c>
      <c r="F358" s="40" t="s">
        <v>249</v>
      </c>
      <c r="G358" s="41" t="s">
        <v>659</v>
      </c>
      <c r="H358" s="44"/>
      <c r="I358" s="44" t="s">
        <v>468</v>
      </c>
      <c r="J358" s="44"/>
      <c r="K358" t="s">
        <v>23</v>
      </c>
    </row>
    <row r="359" spans="1:12" s="52" customFormat="1" ht="25.95" customHeight="1" x14ac:dyDescent="0.3">
      <c r="A359"/>
      <c r="B359" s="88" t="s">
        <v>1414</v>
      </c>
      <c r="C359" s="92" t="s">
        <v>17</v>
      </c>
      <c r="D359" s="89"/>
      <c r="E359" s="39" t="str">
        <f>E$350</f>
        <v>SVT + Physique-Chimie ou SVT + Maths</v>
      </c>
      <c r="F359" s="40" t="str">
        <f>F$350</f>
        <v>Maths conservée en Tle conseillée — sinon Maths compl. (option)</v>
      </c>
      <c r="G359" s="41" t="s">
        <v>1415</v>
      </c>
      <c r="H359" s="44" t="s">
        <v>1416</v>
      </c>
      <c r="I359" s="44" t="str">
        <f>I$350</f>
        <v>SVT+PC | SVT+Maths</v>
      </c>
      <c r="J359" s="44"/>
      <c r="K359" s="100" t="s">
        <v>23</v>
      </c>
      <c r="L359"/>
    </row>
    <row r="360" spans="1:12" ht="22.05" customHeight="1" x14ac:dyDescent="0.3">
      <c r="B360" s="36" t="s">
        <v>660</v>
      </c>
      <c r="C360" s="112" t="s">
        <v>17</v>
      </c>
      <c r="D360" s="38"/>
      <c r="E360" s="39" t="str">
        <f>E350</f>
        <v>SVT + Physique-Chimie ou SVT + Maths</v>
      </c>
      <c r="F360" s="40" t="str">
        <f>F350</f>
        <v>Maths conservée en Tle conseillée — sinon Maths compl. (option)</v>
      </c>
      <c r="G360" s="41" t="s">
        <v>661</v>
      </c>
      <c r="H360" s="44"/>
      <c r="I360" s="44" t="str">
        <f>I350</f>
        <v>SVT+PC | SVT+Maths</v>
      </c>
      <c r="J360" s="44"/>
      <c r="K360" t="s">
        <v>19</v>
      </c>
    </row>
    <row r="361" spans="1:12" s="52" customFormat="1" ht="22.05" customHeight="1" x14ac:dyDescent="0.3">
      <c r="A361"/>
      <c r="B361" s="36" t="s">
        <v>1574</v>
      </c>
      <c r="C361" s="61" t="s">
        <v>17</v>
      </c>
      <c r="D361" s="38"/>
      <c r="E361" s="39" t="str">
        <f>E$350</f>
        <v>SVT + Physique-Chimie ou SVT + Maths</v>
      </c>
      <c r="F361" s="40" t="str">
        <f>F$350</f>
        <v>Maths conservée en Tle conseillée — sinon Maths compl. (option)</v>
      </c>
      <c r="G361" s="41" t="s">
        <v>1575</v>
      </c>
      <c r="H361" s="44"/>
      <c r="I361" s="44" t="str">
        <f>I$350</f>
        <v>SVT+PC | SVT+Maths</v>
      </c>
      <c r="J361" s="44"/>
      <c r="K361" t="s">
        <v>19</v>
      </c>
      <c r="L361"/>
    </row>
    <row r="362" spans="1:12" s="52" customFormat="1" ht="22.05" customHeight="1" x14ac:dyDescent="0.3">
      <c r="B362" s="88" t="s">
        <v>1612</v>
      </c>
      <c r="C362" s="161" t="s">
        <v>17</v>
      </c>
      <c r="D362" s="89"/>
      <c r="E362" s="39" t="str">
        <f>E$350</f>
        <v>SVT + Physique-Chimie ou SVT + Maths</v>
      </c>
      <c r="F362" s="40" t="str">
        <f>F$350</f>
        <v>Maths conservée en Tle conseillée — sinon Maths compl. (option)</v>
      </c>
      <c r="G362" s="41" t="s">
        <v>1613</v>
      </c>
      <c r="H362" s="44" t="s">
        <v>71</v>
      </c>
      <c r="I362" s="44" t="str">
        <f>I$350</f>
        <v>SVT+PC | SVT+Maths</v>
      </c>
      <c r="J362" s="44"/>
      <c r="K362" t="s">
        <v>71</v>
      </c>
      <c r="L362"/>
    </row>
    <row r="363" spans="1:12" s="52" customFormat="1" ht="22.05" customHeight="1" x14ac:dyDescent="0.3"/>
    <row r="364" spans="1:12" ht="22.05" customHeight="1" thickBot="1" x14ac:dyDescent="0.35">
      <c r="B364" s="33" t="s">
        <v>662</v>
      </c>
      <c r="C364" s="32"/>
      <c r="D364" s="32"/>
      <c r="E364" s="34" t="s">
        <v>13</v>
      </c>
      <c r="F364" s="35"/>
      <c r="G364" s="32"/>
      <c r="H364" s="43" t="s">
        <v>663</v>
      </c>
      <c r="I364" s="43" t="s">
        <v>15</v>
      </c>
      <c r="J364" s="43"/>
    </row>
    <row r="365" spans="1:12" ht="22.05" customHeight="1" x14ac:dyDescent="0.3">
      <c r="B365" s="36" t="s">
        <v>664</v>
      </c>
      <c r="C365" s="37" t="s">
        <v>17</v>
      </c>
      <c r="D365" s="38"/>
      <c r="E365" s="39" t="s">
        <v>13</v>
      </c>
      <c r="F365" s="40"/>
      <c r="G365" s="41" t="s">
        <v>665</v>
      </c>
      <c r="H365" s="44"/>
      <c r="I365" s="44" t="s">
        <v>15</v>
      </c>
      <c r="J365" s="44"/>
      <c r="K365" s="87" t="s">
        <v>19</v>
      </c>
      <c r="L365" s="87"/>
    </row>
    <row r="366" spans="1:12" s="52" customFormat="1" ht="22.05" customHeight="1" x14ac:dyDescent="0.3">
      <c r="B366" s="36" t="s">
        <v>666</v>
      </c>
      <c r="C366" s="37" t="s">
        <v>17</v>
      </c>
      <c r="D366" s="38"/>
      <c r="E366" s="39" t="s">
        <v>13</v>
      </c>
      <c r="F366" s="40"/>
      <c r="G366" s="41" t="s">
        <v>667</v>
      </c>
      <c r="H366" s="44"/>
      <c r="I366" s="44" t="s">
        <v>15</v>
      </c>
      <c r="J366" s="44"/>
      <c r="K366" s="87" t="s">
        <v>19</v>
      </c>
      <c r="L366" s="87"/>
    </row>
    <row r="367" spans="1:12" s="52" customFormat="1" ht="22.05" customHeight="1" x14ac:dyDescent="0.3">
      <c r="B367" s="36" t="s">
        <v>668</v>
      </c>
      <c r="C367" s="90" t="s">
        <v>17</v>
      </c>
      <c r="D367" s="38"/>
      <c r="E367" s="39" t="s">
        <v>13</v>
      </c>
      <c r="F367" s="40"/>
      <c r="G367" s="41" t="s">
        <v>669</v>
      </c>
      <c r="H367" s="44"/>
      <c r="I367" s="44" t="s">
        <v>15</v>
      </c>
      <c r="J367" s="44"/>
      <c r="K367" t="s">
        <v>19</v>
      </c>
    </row>
    <row r="368" spans="1:12" s="52" customFormat="1" ht="22.05" customHeight="1" x14ac:dyDescent="0.3">
      <c r="B368" s="88" t="s">
        <v>1286</v>
      </c>
      <c r="C368" s="99" t="s">
        <v>17</v>
      </c>
      <c r="D368" s="89"/>
      <c r="E368" s="39" t="str">
        <f>E$364</f>
        <v>SVT + Physique-Chimie ou SVT + Maths</v>
      </c>
      <c r="F368" s="40"/>
      <c r="G368" s="41" t="s">
        <v>1287</v>
      </c>
      <c r="H368" s="44" t="str">
        <f>H$364</f>
        <v>Formations scientifiques variées (TAAF, instituts polaires)</v>
      </c>
      <c r="I368" s="44" t="str">
        <f>I$364</f>
        <v>SVT+PC | SVT+Maths</v>
      </c>
      <c r="J368" s="44"/>
      <c r="K368" s="100" t="s">
        <v>19</v>
      </c>
    </row>
    <row r="369" spans="1:12" s="52" customFormat="1" ht="22.05" customHeight="1" x14ac:dyDescent="0.3">
      <c r="B369" s="88" t="s">
        <v>1288</v>
      </c>
      <c r="C369" s="99" t="s">
        <v>17</v>
      </c>
      <c r="D369" s="89"/>
      <c r="E369" s="39" t="str">
        <f>E$364</f>
        <v>SVT + Physique-Chimie ou SVT + Maths</v>
      </c>
      <c r="F369" s="40"/>
      <c r="G369" s="41" t="s">
        <v>1289</v>
      </c>
      <c r="H369" s="44" t="str">
        <f>H$364</f>
        <v>Formations scientifiques variées (TAAF, instituts polaires)</v>
      </c>
      <c r="I369" s="44" t="str">
        <f>I$364</f>
        <v>SVT+PC | SVT+Maths</v>
      </c>
      <c r="J369" s="44"/>
      <c r="K369" s="100" t="s">
        <v>19</v>
      </c>
    </row>
    <row r="370" spans="1:12" s="52" customFormat="1" ht="22.05" customHeight="1" x14ac:dyDescent="0.3">
      <c r="B370" s="88" t="s">
        <v>1290</v>
      </c>
      <c r="C370" s="99" t="s">
        <v>17</v>
      </c>
      <c r="D370" s="89"/>
      <c r="E370" s="39" t="s">
        <v>477</v>
      </c>
      <c r="F370" s="40"/>
      <c r="G370" s="41" t="s">
        <v>1291</v>
      </c>
      <c r="H370" s="44" t="s">
        <v>1292</v>
      </c>
      <c r="I370" s="44" t="s">
        <v>1270</v>
      </c>
      <c r="J370" s="44"/>
      <c r="K370" s="100" t="s">
        <v>38</v>
      </c>
    </row>
    <row r="371" spans="1:12" s="52" customFormat="1" ht="22.05" customHeight="1" x14ac:dyDescent="0.3">
      <c r="B371" s="88" t="s">
        <v>1293</v>
      </c>
      <c r="C371" s="98" t="s">
        <v>17</v>
      </c>
      <c r="D371" s="89"/>
      <c r="E371" s="39" t="str">
        <f>E$364</f>
        <v>SVT + Physique-Chimie ou SVT + Maths</v>
      </c>
      <c r="F371" s="40"/>
      <c r="G371" s="41" t="s">
        <v>1294</v>
      </c>
      <c r="H371" s="44" t="s">
        <v>1295</v>
      </c>
      <c r="I371" s="44" t="str">
        <f>I$364</f>
        <v>SVT+PC | SVT+Maths</v>
      </c>
      <c r="J371" s="44"/>
      <c r="K371" s="100" t="s">
        <v>19</v>
      </c>
    </row>
    <row r="372" spans="1:12" s="52" customFormat="1" ht="22.05" customHeight="1" x14ac:dyDescent="0.3"/>
    <row r="373" spans="1:12" s="52" customFormat="1" ht="22.05" customHeight="1" thickBot="1" x14ac:dyDescent="0.35">
      <c r="B373" s="33" t="s">
        <v>670</v>
      </c>
      <c r="C373" s="32"/>
      <c r="D373" s="32"/>
      <c r="E373" s="34" t="s">
        <v>13</v>
      </c>
      <c r="F373" s="35"/>
      <c r="G373" s="32"/>
      <c r="H373" s="43" t="s">
        <v>671</v>
      </c>
      <c r="I373" s="43" t="s">
        <v>15</v>
      </c>
      <c r="J373" s="43"/>
    </row>
    <row r="374" spans="1:12" ht="6" customHeight="1" x14ac:dyDescent="0.3">
      <c r="B374" s="36" t="s">
        <v>672</v>
      </c>
      <c r="C374" s="101" t="s">
        <v>17</v>
      </c>
      <c r="D374" s="38"/>
      <c r="E374" s="39" t="s">
        <v>13</v>
      </c>
      <c r="F374" s="40"/>
      <c r="G374" s="41" t="s">
        <v>673</v>
      </c>
      <c r="H374" s="44"/>
      <c r="I374" s="44" t="s">
        <v>15</v>
      </c>
      <c r="J374" s="44"/>
      <c r="K374" t="s">
        <v>71</v>
      </c>
    </row>
    <row r="375" spans="1:12" s="52" customFormat="1" ht="6" customHeight="1" x14ac:dyDescent="0.3">
      <c r="A375"/>
      <c r="B375" s="88" t="s">
        <v>1507</v>
      </c>
      <c r="C375" s="94" t="s">
        <v>17</v>
      </c>
      <c r="D375" s="89"/>
      <c r="E375" s="39" t="str">
        <f>E$373</f>
        <v>SVT + Physique-Chimie ou SVT + Maths</v>
      </c>
      <c r="F375" s="40"/>
      <c r="G375" s="41" t="s">
        <v>1508</v>
      </c>
      <c r="H375" s="44" t="s">
        <v>1509</v>
      </c>
      <c r="I375" s="44" t="str">
        <f>I$373</f>
        <v>SVT+PC | SVT+Maths</v>
      </c>
      <c r="J375" s="44"/>
      <c r="K375" s="100" t="s">
        <v>71</v>
      </c>
      <c r="L375"/>
    </row>
    <row r="376" spans="1:12" s="52" customFormat="1" ht="6" customHeight="1" x14ac:dyDescent="0.3">
      <c r="A376"/>
      <c r="B376" s="88" t="s">
        <v>1510</v>
      </c>
      <c r="C376" s="94" t="s">
        <v>17</v>
      </c>
      <c r="D376" s="89"/>
      <c r="E376" s="39" t="str">
        <f>E$373</f>
        <v>SVT + Physique-Chimie ou SVT + Maths</v>
      </c>
      <c r="F376" s="40"/>
      <c r="G376" s="41" t="s">
        <v>1511</v>
      </c>
      <c r="H376" s="44" t="s">
        <v>1512</v>
      </c>
      <c r="I376" s="44" t="str">
        <f>I$373</f>
        <v>SVT+PC | SVT+Maths</v>
      </c>
      <c r="J376" s="44"/>
      <c r="K376" s="100" t="s">
        <v>71</v>
      </c>
      <c r="L376"/>
    </row>
    <row r="377" spans="1:12" s="52" customFormat="1" ht="6" customHeight="1" x14ac:dyDescent="0.3">
      <c r="A377"/>
      <c r="B377" s="88" t="s">
        <v>1568</v>
      </c>
      <c r="C377" s="92" t="s">
        <v>17</v>
      </c>
      <c r="D377" s="89"/>
      <c r="E377" s="39" t="str">
        <f>E$373</f>
        <v>SVT + Physique-Chimie ou SVT + Maths</v>
      </c>
      <c r="F377" s="40"/>
      <c r="G377" s="41" t="s">
        <v>1569</v>
      </c>
      <c r="H377" s="44" t="s">
        <v>1570</v>
      </c>
      <c r="I377" s="44" t="str">
        <f>I$373</f>
        <v>SVT+PC | SVT+Maths</v>
      </c>
      <c r="J377" s="44"/>
      <c r="K377" s="100" t="s">
        <v>19</v>
      </c>
      <c r="L377"/>
    </row>
    <row r="378" spans="1:12" ht="25.95" customHeight="1" x14ac:dyDescent="0.3">
      <c r="B378" s="36" t="s">
        <v>262</v>
      </c>
      <c r="C378" s="112" t="s">
        <v>17</v>
      </c>
      <c r="D378" s="38"/>
      <c r="E378" s="39" t="s">
        <v>674</v>
      </c>
      <c r="F378" s="40"/>
      <c r="G378" s="41" t="s">
        <v>263</v>
      </c>
      <c r="H378" s="44" t="s">
        <v>264</v>
      </c>
      <c r="I378" s="44" t="s">
        <v>469</v>
      </c>
      <c r="J378" s="44"/>
      <c r="K378" t="s">
        <v>19</v>
      </c>
    </row>
    <row r="379" spans="1:12" ht="22.05" customHeight="1" x14ac:dyDescent="0.3">
      <c r="B379" s="36" t="s">
        <v>675</v>
      </c>
      <c r="C379" s="37" t="s">
        <v>17</v>
      </c>
      <c r="D379" s="38"/>
      <c r="E379" s="39" t="s">
        <v>13</v>
      </c>
      <c r="F379" s="40"/>
      <c r="G379" s="41" t="s">
        <v>676</v>
      </c>
      <c r="H379" s="44"/>
      <c r="I379" s="44" t="s">
        <v>15</v>
      </c>
      <c r="J379" s="44"/>
      <c r="K379" t="s">
        <v>71</v>
      </c>
    </row>
    <row r="380" spans="1:12" ht="22.05" customHeight="1" x14ac:dyDescent="0.3">
      <c r="B380" s="36" t="s">
        <v>677</v>
      </c>
      <c r="C380" s="37" t="s">
        <v>17</v>
      </c>
      <c r="D380" s="38"/>
      <c r="E380" s="39" t="s">
        <v>13</v>
      </c>
      <c r="F380" s="40"/>
      <c r="G380" s="41" t="s">
        <v>678</v>
      </c>
      <c r="H380" s="44"/>
      <c r="I380" s="44" t="s">
        <v>15</v>
      </c>
      <c r="J380" s="44"/>
      <c r="K380" t="s">
        <v>19</v>
      </c>
    </row>
    <row r="381" spans="1:12" s="52" customFormat="1" ht="22.05" customHeight="1" x14ac:dyDescent="0.3">
      <c r="B381" s="36" t="s">
        <v>679</v>
      </c>
      <c r="C381" s="68" t="s">
        <v>17</v>
      </c>
      <c r="D381" s="38"/>
      <c r="E381" s="39" t="s">
        <v>13</v>
      </c>
      <c r="F381" s="40"/>
      <c r="G381" s="41" t="s">
        <v>680</v>
      </c>
      <c r="H381" s="44"/>
      <c r="I381" s="44" t="s">
        <v>15</v>
      </c>
      <c r="J381" s="44"/>
      <c r="K381" t="s">
        <v>71</v>
      </c>
    </row>
    <row r="382" spans="1:12" ht="22.05" customHeight="1" x14ac:dyDescent="0.3">
      <c r="B382" s="36" t="s">
        <v>681</v>
      </c>
      <c r="C382" s="62" t="s">
        <v>17</v>
      </c>
      <c r="D382" s="38"/>
      <c r="E382" s="39" t="s">
        <v>13</v>
      </c>
      <c r="F382" s="40"/>
      <c r="G382" s="41" t="s">
        <v>682</v>
      </c>
      <c r="H382" s="44"/>
      <c r="I382" s="44" t="s">
        <v>15</v>
      </c>
      <c r="J382" s="44"/>
      <c r="K382" t="s">
        <v>71</v>
      </c>
    </row>
    <row r="383" spans="1:12" ht="22.05" customHeight="1" x14ac:dyDescent="0.3">
      <c r="B383" s="36" t="s">
        <v>683</v>
      </c>
      <c r="C383" s="77" t="s">
        <v>17</v>
      </c>
      <c r="D383" s="38"/>
      <c r="E383" s="39" t="s">
        <v>13</v>
      </c>
      <c r="F383" s="40"/>
      <c r="G383" s="41" t="s">
        <v>684</v>
      </c>
      <c r="H383" s="44"/>
      <c r="I383" s="44" t="s">
        <v>15</v>
      </c>
      <c r="J383" s="44"/>
      <c r="K383" t="s">
        <v>71</v>
      </c>
    </row>
    <row r="384" spans="1:12" ht="22.05" customHeight="1" x14ac:dyDescent="0.3">
      <c r="B384" s="36" t="s">
        <v>685</v>
      </c>
      <c r="C384" s="77" t="s">
        <v>17</v>
      </c>
      <c r="D384" s="38"/>
      <c r="E384" s="39" t="s">
        <v>13</v>
      </c>
      <c r="F384" s="40"/>
      <c r="G384" s="41" t="s">
        <v>686</v>
      </c>
      <c r="H384" s="44"/>
      <c r="I384" s="44" t="s">
        <v>15</v>
      </c>
      <c r="J384" s="44"/>
      <c r="K384" s="87" t="s">
        <v>71</v>
      </c>
      <c r="L384" s="87"/>
    </row>
    <row r="385" spans="1:12" s="52" customFormat="1" ht="22.05" customHeight="1" x14ac:dyDescent="0.3">
      <c r="A385"/>
      <c r="B385" s="36" t="s">
        <v>1580</v>
      </c>
      <c r="C385" s="61" t="s">
        <v>17</v>
      </c>
      <c r="D385" s="38"/>
      <c r="E385" s="39" t="str">
        <f t="shared" ref="E385:E391" si="25">E$373</f>
        <v>SVT + Physique-Chimie ou SVT + Maths</v>
      </c>
      <c r="F385" s="40"/>
      <c r="G385" s="41" t="s">
        <v>1581</v>
      </c>
      <c r="H385" s="44"/>
      <c r="I385" s="44" t="str">
        <f t="shared" ref="I385:I391" si="26">I$373</f>
        <v>SVT+PC | SVT+Maths</v>
      </c>
      <c r="J385" s="44"/>
      <c r="K385" t="s">
        <v>71</v>
      </c>
      <c r="L385"/>
    </row>
    <row r="386" spans="1:12" s="52" customFormat="1" ht="22.05" customHeight="1" x14ac:dyDescent="0.3">
      <c r="A386"/>
      <c r="B386" s="36" t="s">
        <v>1582</v>
      </c>
      <c r="C386" s="61" t="s">
        <v>17</v>
      </c>
      <c r="D386" s="38"/>
      <c r="E386" s="39" t="str">
        <f t="shared" si="25"/>
        <v>SVT + Physique-Chimie ou SVT + Maths</v>
      </c>
      <c r="F386" s="40"/>
      <c r="G386" s="41" t="s">
        <v>1583</v>
      </c>
      <c r="H386" s="44"/>
      <c r="I386" s="44" t="str">
        <f t="shared" si="26"/>
        <v>SVT+PC | SVT+Maths</v>
      </c>
      <c r="J386" s="44"/>
      <c r="K386" t="s">
        <v>71</v>
      </c>
      <c r="L386"/>
    </row>
    <row r="387" spans="1:12" s="52" customFormat="1" ht="22.05" customHeight="1" x14ac:dyDescent="0.3">
      <c r="A387"/>
      <c r="B387" s="36" t="s">
        <v>1588</v>
      </c>
      <c r="C387" s="61" t="s">
        <v>17</v>
      </c>
      <c r="D387" s="38"/>
      <c r="E387" s="39" t="str">
        <f t="shared" si="25"/>
        <v>SVT + Physique-Chimie ou SVT + Maths</v>
      </c>
      <c r="F387" s="40"/>
      <c r="G387" s="41" t="s">
        <v>1589</v>
      </c>
      <c r="H387" s="44"/>
      <c r="I387" s="44" t="str">
        <f t="shared" si="26"/>
        <v>SVT+PC | SVT+Maths</v>
      </c>
      <c r="J387" s="44"/>
      <c r="K387" t="s">
        <v>71</v>
      </c>
      <c r="L387"/>
    </row>
    <row r="388" spans="1:12" s="52" customFormat="1" ht="22.05" customHeight="1" x14ac:dyDescent="0.3">
      <c r="B388" s="88" t="s">
        <v>1610</v>
      </c>
      <c r="C388" s="162" t="s">
        <v>17</v>
      </c>
      <c r="D388" s="89"/>
      <c r="E388" s="39" t="str">
        <f t="shared" si="25"/>
        <v>SVT + Physique-Chimie ou SVT + Maths</v>
      </c>
      <c r="F388" s="40"/>
      <c r="G388" s="41" t="s">
        <v>1611</v>
      </c>
      <c r="H388" s="44"/>
      <c r="I388" s="44" t="str">
        <f t="shared" si="26"/>
        <v>SVT+PC | SVT+Maths</v>
      </c>
      <c r="J388" s="44"/>
      <c r="K388" t="s">
        <v>19</v>
      </c>
      <c r="L388"/>
    </row>
    <row r="389" spans="1:12" s="52" customFormat="1" ht="22.05" customHeight="1" x14ac:dyDescent="0.3">
      <c r="B389" s="88" t="s">
        <v>1623</v>
      </c>
      <c r="C389" s="162" t="s">
        <v>17</v>
      </c>
      <c r="D389" s="89"/>
      <c r="E389" s="39" t="str">
        <f t="shared" si="25"/>
        <v>SVT + Physique-Chimie ou SVT + Maths</v>
      </c>
      <c r="F389" s="40"/>
      <c r="G389" s="41" t="s">
        <v>1624</v>
      </c>
      <c r="H389" s="44" t="s">
        <v>1625</v>
      </c>
      <c r="I389" s="44" t="str">
        <f t="shared" si="26"/>
        <v>SVT+PC | SVT+Maths</v>
      </c>
      <c r="J389" s="44"/>
      <c r="K389" t="s">
        <v>71</v>
      </c>
      <c r="L389"/>
    </row>
    <row r="390" spans="1:12" s="52" customFormat="1" ht="22.05" customHeight="1" x14ac:dyDescent="0.3">
      <c r="B390" s="88" t="s">
        <v>1630</v>
      </c>
      <c r="C390" s="162" t="s">
        <v>17</v>
      </c>
      <c r="D390" s="89"/>
      <c r="E390" s="39" t="str">
        <f t="shared" si="25"/>
        <v>SVT + Physique-Chimie ou SVT + Maths</v>
      </c>
      <c r="F390" s="40"/>
      <c r="G390" s="41" t="s">
        <v>1631</v>
      </c>
      <c r="H390" s="44" t="s">
        <v>1632</v>
      </c>
      <c r="I390" s="44" t="str">
        <f t="shared" si="26"/>
        <v>SVT+PC | SVT+Maths</v>
      </c>
      <c r="J390" s="44"/>
      <c r="K390" t="s">
        <v>71</v>
      </c>
      <c r="L390"/>
    </row>
    <row r="391" spans="1:12" s="52" customFormat="1" ht="22.05" customHeight="1" x14ac:dyDescent="0.3">
      <c r="B391" s="88" t="s">
        <v>1633</v>
      </c>
      <c r="C391" s="161" t="s">
        <v>17</v>
      </c>
      <c r="D391" s="89"/>
      <c r="E391" s="39" t="str">
        <f t="shared" si="25"/>
        <v>SVT + Physique-Chimie ou SVT + Maths</v>
      </c>
      <c r="F391" s="40"/>
      <c r="G391" s="41" t="s">
        <v>1634</v>
      </c>
      <c r="H391" s="44"/>
      <c r="I391" s="44" t="str">
        <f t="shared" si="26"/>
        <v>SVT+PC | SVT+Maths</v>
      </c>
      <c r="J391" s="44"/>
      <c r="K391" t="s">
        <v>71</v>
      </c>
      <c r="L391"/>
    </row>
    <row r="392" spans="1:12" ht="22.05" customHeight="1" x14ac:dyDescent="0.3"/>
    <row r="393" spans="1:12" ht="22.05" customHeight="1" thickBot="1" x14ac:dyDescent="0.35">
      <c r="B393" s="33" t="s">
        <v>687</v>
      </c>
      <c r="C393" s="32"/>
      <c r="D393" s="32"/>
      <c r="E393" s="34" t="s">
        <v>13</v>
      </c>
      <c r="F393" s="35" t="s">
        <v>14</v>
      </c>
      <c r="G393" s="32"/>
      <c r="H393" s="43" t="s">
        <v>688</v>
      </c>
      <c r="I393" s="43" t="s">
        <v>15</v>
      </c>
      <c r="J393" s="43"/>
    </row>
    <row r="394" spans="1:12" ht="22.05" customHeight="1" x14ac:dyDescent="0.3">
      <c r="B394" s="36" t="s">
        <v>689</v>
      </c>
      <c r="C394" s="37" t="s">
        <v>17</v>
      </c>
      <c r="D394" s="38"/>
      <c r="E394" s="39" t="s">
        <v>13</v>
      </c>
      <c r="F394" s="40" t="s">
        <v>14</v>
      </c>
      <c r="G394" s="41" t="s">
        <v>690</v>
      </c>
      <c r="H394" s="44"/>
      <c r="I394" s="44" t="s">
        <v>15</v>
      </c>
      <c r="J394" s="44"/>
      <c r="K394" t="s">
        <v>71</v>
      </c>
    </row>
    <row r="395" spans="1:12" ht="22.05" customHeight="1" x14ac:dyDescent="0.3">
      <c r="B395" s="36" t="s">
        <v>691</v>
      </c>
      <c r="C395" s="37" t="s">
        <v>17</v>
      </c>
      <c r="D395" s="38"/>
      <c r="E395" s="39" t="s">
        <v>13</v>
      </c>
      <c r="F395" s="40" t="s">
        <v>14</v>
      </c>
      <c r="G395" s="41" t="s">
        <v>692</v>
      </c>
      <c r="H395" s="44"/>
      <c r="I395" s="44" t="s">
        <v>15</v>
      </c>
      <c r="J395" s="44"/>
      <c r="K395" t="s">
        <v>71</v>
      </c>
    </row>
    <row r="396" spans="1:12" ht="22.05" customHeight="1" x14ac:dyDescent="0.3">
      <c r="B396" s="36" t="s">
        <v>693</v>
      </c>
      <c r="C396" s="68" t="s">
        <v>17</v>
      </c>
      <c r="D396" s="38"/>
      <c r="E396" s="39" t="s">
        <v>13</v>
      </c>
      <c r="F396" s="40" t="s">
        <v>14</v>
      </c>
      <c r="G396" s="41" t="s">
        <v>694</v>
      </c>
      <c r="H396" s="44"/>
      <c r="I396" s="44" t="s">
        <v>15</v>
      </c>
      <c r="J396" s="44"/>
      <c r="K396" t="s">
        <v>19</v>
      </c>
    </row>
    <row r="397" spans="1:12" ht="22.05" customHeight="1" x14ac:dyDescent="0.3">
      <c r="B397" s="36" t="s">
        <v>695</v>
      </c>
      <c r="C397" s="37" t="s">
        <v>17</v>
      </c>
      <c r="D397" s="38"/>
      <c r="E397" s="39" t="s">
        <v>13</v>
      </c>
      <c r="F397" s="40" t="s">
        <v>14</v>
      </c>
      <c r="G397" s="41" t="s">
        <v>696</v>
      </c>
      <c r="H397" s="44"/>
      <c r="I397" s="44" t="s">
        <v>15</v>
      </c>
      <c r="J397" s="44"/>
      <c r="K397" t="s">
        <v>71</v>
      </c>
    </row>
    <row r="398" spans="1:12" ht="22.05" customHeight="1" x14ac:dyDescent="0.3">
      <c r="B398" s="36" t="s">
        <v>697</v>
      </c>
      <c r="C398" s="37" t="s">
        <v>17</v>
      </c>
      <c r="D398" s="38"/>
      <c r="E398" s="39" t="s">
        <v>13</v>
      </c>
      <c r="F398" s="40" t="s">
        <v>14</v>
      </c>
      <c r="G398" s="41" t="s">
        <v>698</v>
      </c>
      <c r="H398" s="44"/>
      <c r="I398" s="44" t="s">
        <v>15</v>
      </c>
      <c r="J398" s="44"/>
      <c r="K398" t="s">
        <v>19</v>
      </c>
    </row>
    <row r="399" spans="1:12" ht="22.05" customHeight="1" x14ac:dyDescent="0.3">
      <c r="B399" s="36" t="s">
        <v>699</v>
      </c>
      <c r="C399" s="37" t="s">
        <v>17</v>
      </c>
      <c r="D399" s="103"/>
      <c r="E399" s="39" t="s">
        <v>13</v>
      </c>
      <c r="F399" s="40" t="s">
        <v>14</v>
      </c>
      <c r="G399" s="41" t="s">
        <v>700</v>
      </c>
      <c r="H399" s="44"/>
      <c r="I399" s="44" t="s">
        <v>15</v>
      </c>
      <c r="J399" s="44"/>
      <c r="K399" t="s">
        <v>19</v>
      </c>
    </row>
    <row r="400" spans="1:12" ht="22.05" customHeight="1" x14ac:dyDescent="0.3">
      <c r="B400" s="36" t="s">
        <v>1296</v>
      </c>
      <c r="C400" s="102" t="s">
        <v>17</v>
      </c>
      <c r="D400" s="105" t="s">
        <v>17</v>
      </c>
      <c r="E400" s="65" t="s">
        <v>13</v>
      </c>
      <c r="F400" s="40" t="s">
        <v>14</v>
      </c>
      <c r="G400" s="41" t="s">
        <v>1297</v>
      </c>
      <c r="H400" s="44" t="s">
        <v>1295</v>
      </c>
      <c r="I400" s="44" t="s">
        <v>15</v>
      </c>
      <c r="J400" s="44"/>
      <c r="K400" t="s">
        <v>19</v>
      </c>
    </row>
    <row r="401" spans="2:12" ht="22.05" customHeight="1" x14ac:dyDescent="0.3">
      <c r="B401" s="36" t="s">
        <v>701</v>
      </c>
      <c r="C401" s="91" t="s">
        <v>17</v>
      </c>
      <c r="D401" s="38"/>
      <c r="E401" s="39" t="s">
        <v>13</v>
      </c>
      <c r="F401" s="40" t="s">
        <v>14</v>
      </c>
      <c r="G401" s="41" t="s">
        <v>702</v>
      </c>
      <c r="H401" s="44"/>
      <c r="I401" s="44" t="s">
        <v>15</v>
      </c>
      <c r="J401" s="44"/>
      <c r="K401" t="s">
        <v>19</v>
      </c>
    </row>
    <row r="402" spans="2:12" ht="22.05" customHeight="1" x14ac:dyDescent="0.3">
      <c r="B402" s="36" t="s">
        <v>703</v>
      </c>
      <c r="C402" s="37" t="s">
        <v>17</v>
      </c>
      <c r="D402" s="38"/>
      <c r="E402" s="39" t="s">
        <v>13</v>
      </c>
      <c r="F402" s="40" t="s">
        <v>14</v>
      </c>
      <c r="G402" s="41" t="s">
        <v>704</v>
      </c>
      <c r="H402" s="44"/>
      <c r="I402" s="44" t="s">
        <v>15</v>
      </c>
      <c r="J402" s="44"/>
      <c r="K402" t="s">
        <v>19</v>
      </c>
    </row>
    <row r="403" spans="2:12" ht="22.05" customHeight="1" x14ac:dyDescent="0.3">
      <c r="B403" s="36" t="s">
        <v>705</v>
      </c>
      <c r="C403" s="37" t="s">
        <v>17</v>
      </c>
      <c r="D403" s="38"/>
      <c r="E403" s="39" t="s">
        <v>13</v>
      </c>
      <c r="F403" s="40" t="s">
        <v>14</v>
      </c>
      <c r="G403" s="41" t="s">
        <v>706</v>
      </c>
      <c r="H403" s="44"/>
      <c r="I403" s="44" t="s">
        <v>15</v>
      </c>
      <c r="J403" s="44"/>
      <c r="K403" t="s">
        <v>38</v>
      </c>
    </row>
    <row r="404" spans="2:12" ht="22.05" customHeight="1" x14ac:dyDescent="0.3">
      <c r="B404" s="36" t="s">
        <v>707</v>
      </c>
      <c r="C404" s="37" t="s">
        <v>17</v>
      </c>
      <c r="D404" s="38"/>
      <c r="E404" s="39" t="s">
        <v>13</v>
      </c>
      <c r="F404" s="40" t="s">
        <v>14</v>
      </c>
      <c r="G404" s="41" t="s">
        <v>708</v>
      </c>
      <c r="H404" s="44"/>
      <c r="I404" s="44" t="s">
        <v>15</v>
      </c>
      <c r="J404" s="44"/>
      <c r="K404" t="s">
        <v>19</v>
      </c>
    </row>
    <row r="405" spans="2:12" ht="22.05" customHeight="1" x14ac:dyDescent="0.3">
      <c r="B405" s="36" t="s">
        <v>709</v>
      </c>
      <c r="C405" s="37" t="s">
        <v>17</v>
      </c>
      <c r="D405" s="38"/>
      <c r="E405" s="39" t="s">
        <v>13</v>
      </c>
      <c r="F405" s="40" t="s">
        <v>14</v>
      </c>
      <c r="G405" s="41" t="s">
        <v>710</v>
      </c>
      <c r="H405" s="44"/>
      <c r="I405" s="44" t="s">
        <v>15</v>
      </c>
      <c r="J405" s="44"/>
      <c r="K405" s="87" t="s">
        <v>19</v>
      </c>
      <c r="L405" s="87"/>
    </row>
    <row r="406" spans="2:12" ht="22.05" customHeight="1" x14ac:dyDescent="0.3">
      <c r="B406" s="36" t="s">
        <v>711</v>
      </c>
      <c r="C406" s="37" t="s">
        <v>17</v>
      </c>
      <c r="D406" s="38"/>
      <c r="E406" s="39" t="s">
        <v>13</v>
      </c>
      <c r="F406" s="40" t="s">
        <v>14</v>
      </c>
      <c r="G406" s="41" t="s">
        <v>712</v>
      </c>
      <c r="H406" s="44"/>
      <c r="I406" s="44" t="s">
        <v>15</v>
      </c>
      <c r="J406" s="44"/>
      <c r="K406" t="s">
        <v>19</v>
      </c>
    </row>
    <row r="407" spans="2:12" s="52" customFormat="1" ht="22.05" customHeight="1" x14ac:dyDescent="0.3">
      <c r="B407" s="36" t="s">
        <v>256</v>
      </c>
      <c r="C407" s="37" t="s">
        <v>17</v>
      </c>
      <c r="D407" s="38"/>
      <c r="E407" s="39" t="s">
        <v>13</v>
      </c>
      <c r="F407" s="40" t="s">
        <v>14</v>
      </c>
      <c r="G407" s="41" t="s">
        <v>713</v>
      </c>
      <c r="H407" s="44"/>
      <c r="I407" s="44" t="s">
        <v>15</v>
      </c>
      <c r="J407" s="44"/>
      <c r="K407" t="s">
        <v>19</v>
      </c>
    </row>
    <row r="408" spans="2:12" s="52" customFormat="1" ht="22.05" customHeight="1" x14ac:dyDescent="0.3">
      <c r="B408" s="36" t="s">
        <v>714</v>
      </c>
      <c r="C408" s="37" t="s">
        <v>17</v>
      </c>
      <c r="D408" s="38"/>
      <c r="E408" s="39" t="s">
        <v>13</v>
      </c>
      <c r="F408" s="40" t="s">
        <v>14</v>
      </c>
      <c r="G408" s="41" t="s">
        <v>715</v>
      </c>
      <c r="H408" s="44"/>
      <c r="I408" s="44" t="s">
        <v>15</v>
      </c>
      <c r="J408" s="44"/>
      <c r="K408" t="s">
        <v>19</v>
      </c>
    </row>
    <row r="409" spans="2:12" s="52" customFormat="1" ht="22.05" customHeight="1" x14ac:dyDescent="0.3">
      <c r="B409" s="36" t="s">
        <v>716</v>
      </c>
      <c r="C409" s="37" t="s">
        <v>17</v>
      </c>
      <c r="D409" s="38"/>
      <c r="E409" s="39" t="s">
        <v>13</v>
      </c>
      <c r="F409" s="40" t="s">
        <v>14</v>
      </c>
      <c r="G409" s="41" t="s">
        <v>717</v>
      </c>
      <c r="H409" s="44"/>
      <c r="I409" s="44" t="s">
        <v>15</v>
      </c>
      <c r="J409" s="44"/>
      <c r="K409" t="s">
        <v>19</v>
      </c>
    </row>
    <row r="410" spans="2:12" s="52" customFormat="1" ht="22.05" customHeight="1" x14ac:dyDescent="0.3">
      <c r="B410" s="36" t="s">
        <v>718</v>
      </c>
      <c r="C410" s="37" t="s">
        <v>17</v>
      </c>
      <c r="D410" s="38"/>
      <c r="E410" s="39" t="s">
        <v>13</v>
      </c>
      <c r="F410" s="40" t="s">
        <v>14</v>
      </c>
      <c r="G410" s="41" t="s">
        <v>719</v>
      </c>
      <c r="H410" s="44"/>
      <c r="I410" s="44" t="s">
        <v>15</v>
      </c>
      <c r="J410" s="44"/>
      <c r="K410" t="s">
        <v>23</v>
      </c>
    </row>
    <row r="411" spans="2:12" s="52" customFormat="1" ht="22.05" customHeight="1" x14ac:dyDescent="0.3">
      <c r="B411" s="36" t="s">
        <v>720</v>
      </c>
      <c r="C411" s="37" t="s">
        <v>17</v>
      </c>
      <c r="D411" s="38"/>
      <c r="E411" s="39" t="s">
        <v>13</v>
      </c>
      <c r="F411" s="40" t="s">
        <v>14</v>
      </c>
      <c r="G411" s="41" t="s">
        <v>721</v>
      </c>
      <c r="H411" s="44"/>
      <c r="I411" s="44" t="s">
        <v>15</v>
      </c>
      <c r="J411" s="44"/>
      <c r="K411" t="s">
        <v>19</v>
      </c>
    </row>
    <row r="412" spans="2:12" s="52" customFormat="1" ht="22.05" customHeight="1" x14ac:dyDescent="0.3">
      <c r="B412" s="36" t="s">
        <v>722</v>
      </c>
      <c r="C412" s="37" t="s">
        <v>17</v>
      </c>
      <c r="D412" s="38"/>
      <c r="E412" s="39" t="s">
        <v>13</v>
      </c>
      <c r="F412" s="40" t="s">
        <v>14</v>
      </c>
      <c r="G412" s="41" t="s">
        <v>723</v>
      </c>
      <c r="H412" s="44"/>
      <c r="I412" s="44" t="s">
        <v>15</v>
      </c>
      <c r="J412" s="44"/>
      <c r="K412" s="87" t="s">
        <v>19</v>
      </c>
      <c r="L412" s="87"/>
    </row>
    <row r="413" spans="2:12" s="52" customFormat="1" ht="22.05" customHeight="1" x14ac:dyDescent="0.3">
      <c r="B413" s="36" t="s">
        <v>204</v>
      </c>
      <c r="C413" s="37" t="s">
        <v>17</v>
      </c>
      <c r="D413" s="38"/>
      <c r="E413" s="39" t="s">
        <v>13</v>
      </c>
      <c r="F413" s="40" t="s">
        <v>14</v>
      </c>
      <c r="G413" s="41" t="s">
        <v>205</v>
      </c>
      <c r="H413" s="44"/>
      <c r="I413" s="44" t="s">
        <v>15</v>
      </c>
      <c r="J413" s="44"/>
      <c r="K413" t="s">
        <v>19</v>
      </c>
    </row>
    <row r="414" spans="2:12" s="52" customFormat="1" ht="22.05" customHeight="1" x14ac:dyDescent="0.3">
      <c r="B414" s="36" t="s">
        <v>724</v>
      </c>
      <c r="C414" s="101" t="s">
        <v>17</v>
      </c>
      <c r="D414" s="38"/>
      <c r="E414" s="39" t="s">
        <v>13</v>
      </c>
      <c r="F414" s="40" t="s">
        <v>14</v>
      </c>
      <c r="G414" s="41" t="s">
        <v>725</v>
      </c>
      <c r="H414" s="44"/>
      <c r="I414" s="44" t="s">
        <v>15</v>
      </c>
      <c r="J414" s="44"/>
      <c r="K414" t="s">
        <v>71</v>
      </c>
    </row>
    <row r="415" spans="2:12" s="52" customFormat="1" ht="22.05" customHeight="1" x14ac:dyDescent="0.3">
      <c r="B415" s="88" t="s">
        <v>1522</v>
      </c>
      <c r="C415" s="92" t="s">
        <v>17</v>
      </c>
      <c r="D415" s="89"/>
      <c r="E415" s="39" t="str">
        <f>E$393</f>
        <v>SVT + Physique-Chimie ou SVT + Maths</v>
      </c>
      <c r="F415" s="40" t="str">
        <f>F$393</f>
        <v>Maths compl. (option Tle) si Maths non conservée</v>
      </c>
      <c r="G415" s="41" t="s">
        <v>1523</v>
      </c>
      <c r="H415" s="44" t="s">
        <v>1524</v>
      </c>
      <c r="I415" s="44" t="str">
        <f>I$393</f>
        <v>SVT+PC | SVT+Maths</v>
      </c>
      <c r="J415" s="44"/>
      <c r="K415" s="100" t="s">
        <v>71</v>
      </c>
    </row>
    <row r="416" spans="2:12" ht="6" customHeight="1" x14ac:dyDescent="0.3">
      <c r="B416" s="36" t="s">
        <v>726</v>
      </c>
      <c r="C416" s="122" t="s">
        <v>17</v>
      </c>
      <c r="D416" s="38"/>
      <c r="E416" s="39" t="str">
        <f>E393</f>
        <v>SVT + Physique-Chimie ou SVT + Maths</v>
      </c>
      <c r="F416" s="40" t="str">
        <f>F393</f>
        <v>Maths compl. (option Tle) si Maths non conservée</v>
      </c>
      <c r="G416" s="41" t="s">
        <v>727</v>
      </c>
      <c r="H416" s="44"/>
      <c r="I416" s="44" t="str">
        <f>I393</f>
        <v>SVT+PC | SVT+Maths</v>
      </c>
      <c r="J416" s="44"/>
      <c r="K416" t="s">
        <v>71</v>
      </c>
    </row>
    <row r="417" spans="2:12" ht="25.95" customHeight="1" x14ac:dyDescent="0.3">
      <c r="B417" s="36" t="s">
        <v>728</v>
      </c>
      <c r="C417" s="54" t="s">
        <v>17</v>
      </c>
      <c r="D417" s="38"/>
      <c r="E417" s="39" t="str">
        <f>E393</f>
        <v>SVT + Physique-Chimie ou SVT + Maths</v>
      </c>
      <c r="F417" s="40" t="str">
        <f>F393</f>
        <v>Maths compl. (option Tle) si Maths non conservée</v>
      </c>
      <c r="G417" s="41" t="s">
        <v>729</v>
      </c>
      <c r="H417" s="44"/>
      <c r="I417" s="44" t="str">
        <f>I393</f>
        <v>SVT+PC | SVT+Maths</v>
      </c>
      <c r="J417" s="44"/>
      <c r="K417" t="s">
        <v>19</v>
      </c>
    </row>
    <row r="418" spans="2:12" ht="22.05" customHeight="1" x14ac:dyDescent="0.3">
      <c r="B418" s="36" t="s">
        <v>730</v>
      </c>
      <c r="C418" s="77" t="s">
        <v>17</v>
      </c>
      <c r="D418" s="38"/>
      <c r="E418" s="39" t="s">
        <v>99</v>
      </c>
      <c r="F418" s="40"/>
      <c r="G418" s="41" t="s">
        <v>731</v>
      </c>
      <c r="H418" s="44"/>
      <c r="I418" s="44" t="s">
        <v>101</v>
      </c>
      <c r="J418" s="44"/>
      <c r="K418" t="s">
        <v>38</v>
      </c>
    </row>
    <row r="419" spans="2:12" ht="22.05" customHeight="1" x14ac:dyDescent="0.3">
      <c r="B419" s="36" t="s">
        <v>732</v>
      </c>
      <c r="C419" s="77" t="s">
        <v>17</v>
      </c>
      <c r="D419" s="38"/>
      <c r="E419" s="39" t="s">
        <v>99</v>
      </c>
      <c r="F419" s="40"/>
      <c r="G419" s="41" t="s">
        <v>733</v>
      </c>
      <c r="H419" s="44"/>
      <c r="I419" s="44" t="s">
        <v>101</v>
      </c>
      <c r="J419" s="44"/>
      <c r="K419" t="s">
        <v>38</v>
      </c>
    </row>
    <row r="420" spans="2:12" ht="22.05" customHeight="1" x14ac:dyDescent="0.3">
      <c r="B420" s="36" t="s">
        <v>734</v>
      </c>
      <c r="C420" s="77" t="s">
        <v>17</v>
      </c>
      <c r="D420" s="38"/>
      <c r="E420" s="39" t="s">
        <v>99</v>
      </c>
      <c r="F420" s="40"/>
      <c r="G420" s="41" t="s">
        <v>735</v>
      </c>
      <c r="H420" s="44"/>
      <c r="I420" s="44" t="s">
        <v>101</v>
      </c>
      <c r="J420" s="44"/>
      <c r="K420" t="s">
        <v>38</v>
      </c>
    </row>
    <row r="421" spans="2:12" ht="22.05" customHeight="1" x14ac:dyDescent="0.3">
      <c r="B421" s="36" t="s">
        <v>736</v>
      </c>
      <c r="C421" s="77" t="s">
        <v>17</v>
      </c>
      <c r="D421" s="38"/>
      <c r="E421" s="39" t="s">
        <v>99</v>
      </c>
      <c r="F421" s="40"/>
      <c r="G421" s="41" t="s">
        <v>737</v>
      </c>
      <c r="H421" s="44"/>
      <c r="I421" s="44" t="s">
        <v>101</v>
      </c>
      <c r="J421" s="44"/>
      <c r="K421" t="s">
        <v>38</v>
      </c>
    </row>
    <row r="422" spans="2:12" ht="22.05" customHeight="1" x14ac:dyDescent="0.3">
      <c r="B422" s="36" t="s">
        <v>738</v>
      </c>
      <c r="C422" s="77" t="s">
        <v>17</v>
      </c>
      <c r="D422" s="38"/>
      <c r="E422" s="39" t="s">
        <v>13</v>
      </c>
      <c r="F422" s="40" t="s">
        <v>14</v>
      </c>
      <c r="G422" s="41" t="s">
        <v>739</v>
      </c>
      <c r="H422" s="44"/>
      <c r="I422" s="44" t="s">
        <v>15</v>
      </c>
      <c r="J422" s="44"/>
      <c r="K422" t="s">
        <v>19</v>
      </c>
    </row>
    <row r="423" spans="2:12" ht="6" customHeight="1" x14ac:dyDescent="0.3">
      <c r="B423" s="36" t="s">
        <v>402</v>
      </c>
      <c r="C423" s="90" t="s">
        <v>17</v>
      </c>
      <c r="D423" s="38"/>
      <c r="E423" s="39" t="str">
        <f>E393</f>
        <v>SVT + Physique-Chimie ou SVT + Maths</v>
      </c>
      <c r="F423" s="40" t="str">
        <f>F393</f>
        <v>Maths compl. (option Tle) si Maths non conservée</v>
      </c>
      <c r="G423" s="41" t="s">
        <v>403</v>
      </c>
      <c r="H423" s="44"/>
      <c r="I423" s="44" t="str">
        <f>I393</f>
        <v>SVT+PC | SVT+Maths</v>
      </c>
      <c r="J423" s="44"/>
      <c r="K423" t="s">
        <v>19</v>
      </c>
    </row>
    <row r="424" spans="2:12" s="52" customFormat="1" ht="6" customHeight="1" x14ac:dyDescent="0.3">
      <c r="B424" s="88" t="s">
        <v>1612</v>
      </c>
      <c r="C424" s="162" t="s">
        <v>17</v>
      </c>
      <c r="D424" s="89"/>
      <c r="E424" s="39" t="str">
        <f>E$393</f>
        <v>SVT + Physique-Chimie ou SVT + Maths</v>
      </c>
      <c r="F424" s="40" t="str">
        <f>F$393</f>
        <v>Maths compl. (option Tle) si Maths non conservée</v>
      </c>
      <c r="G424" s="41" t="s">
        <v>1613</v>
      </c>
      <c r="H424" s="44" t="s">
        <v>71</v>
      </c>
      <c r="I424" s="44" t="str">
        <f>I$393</f>
        <v>SVT+PC | SVT+Maths</v>
      </c>
      <c r="J424" s="44"/>
      <c r="K424" t="s">
        <v>71</v>
      </c>
      <c r="L424"/>
    </row>
    <row r="425" spans="2:12" s="52" customFormat="1" ht="6" customHeight="1" x14ac:dyDescent="0.3">
      <c r="B425" s="88" t="s">
        <v>1620</v>
      </c>
      <c r="C425" s="161" t="s">
        <v>17</v>
      </c>
      <c r="D425" s="89"/>
      <c r="E425" s="39" t="str">
        <f>E$393</f>
        <v>SVT + Physique-Chimie ou SVT + Maths</v>
      </c>
      <c r="F425" s="40" t="str">
        <f>F$393</f>
        <v>Maths compl. (option Tle) si Maths non conservée</v>
      </c>
      <c r="G425" s="41" t="s">
        <v>1621</v>
      </c>
      <c r="H425" s="44" t="s">
        <v>1622</v>
      </c>
      <c r="I425" s="44" t="str">
        <f>I$393</f>
        <v>SVT+PC | SVT+Maths</v>
      </c>
      <c r="J425" s="44"/>
      <c r="K425" t="s">
        <v>19</v>
      </c>
      <c r="L425"/>
    </row>
    <row r="426" spans="2:12" ht="25.95" customHeight="1" x14ac:dyDescent="0.3"/>
    <row r="427" spans="2:12" ht="22.05" customHeight="1" thickBot="1" x14ac:dyDescent="0.35">
      <c r="B427" s="33" t="s">
        <v>740</v>
      </c>
      <c r="C427" s="32"/>
      <c r="D427" s="32"/>
      <c r="E427" s="34" t="s">
        <v>13</v>
      </c>
      <c r="F427" s="35" t="s">
        <v>14</v>
      </c>
      <c r="G427" s="32"/>
      <c r="H427" s="43" t="s">
        <v>741</v>
      </c>
      <c r="I427" s="43" t="s">
        <v>15</v>
      </c>
      <c r="J427" s="43"/>
    </row>
    <row r="428" spans="2:12" ht="22.05" customHeight="1" x14ac:dyDescent="0.3">
      <c r="B428" s="36" t="s">
        <v>742</v>
      </c>
      <c r="C428" s="37" t="s">
        <v>17</v>
      </c>
      <c r="D428" s="38"/>
      <c r="E428" s="39" t="s">
        <v>13</v>
      </c>
      <c r="F428" s="40" t="s">
        <v>14</v>
      </c>
      <c r="G428" s="41" t="s">
        <v>743</v>
      </c>
      <c r="H428" s="44"/>
      <c r="I428" s="44" t="s">
        <v>15</v>
      </c>
      <c r="J428" s="44"/>
      <c r="K428" t="s">
        <v>71</v>
      </c>
    </row>
    <row r="429" spans="2:12" ht="22.05" customHeight="1" x14ac:dyDescent="0.3">
      <c r="B429" s="36" t="s">
        <v>744</v>
      </c>
      <c r="C429" s="37" t="s">
        <v>17</v>
      </c>
      <c r="D429" s="38"/>
      <c r="E429" s="39" t="s">
        <v>13</v>
      </c>
      <c r="F429" s="40" t="s">
        <v>14</v>
      </c>
      <c r="G429" s="41" t="s">
        <v>745</v>
      </c>
      <c r="H429" s="44"/>
      <c r="I429" s="44" t="s">
        <v>15</v>
      </c>
      <c r="J429" s="44"/>
      <c r="K429" t="s">
        <v>23</v>
      </c>
    </row>
    <row r="430" spans="2:12" ht="22.05" customHeight="1" x14ac:dyDescent="0.3">
      <c r="B430" s="36" t="s">
        <v>746</v>
      </c>
      <c r="C430" s="37" t="s">
        <v>17</v>
      </c>
      <c r="D430" s="38"/>
      <c r="E430" s="39" t="s">
        <v>13</v>
      </c>
      <c r="F430" s="40" t="s">
        <v>14</v>
      </c>
      <c r="G430" s="41" t="s">
        <v>747</v>
      </c>
      <c r="H430" s="44"/>
      <c r="I430" s="44" t="s">
        <v>15</v>
      </c>
      <c r="J430" s="44"/>
      <c r="K430" t="s">
        <v>23</v>
      </c>
    </row>
    <row r="431" spans="2:12" ht="22.05" customHeight="1" x14ac:dyDescent="0.3">
      <c r="B431" s="36" t="s">
        <v>748</v>
      </c>
      <c r="C431" s="37" t="s">
        <v>17</v>
      </c>
      <c r="D431" s="38"/>
      <c r="E431" s="39" t="s">
        <v>13</v>
      </c>
      <c r="F431" s="40" t="s">
        <v>14</v>
      </c>
      <c r="G431" s="41" t="s">
        <v>749</v>
      </c>
      <c r="H431" s="44"/>
      <c r="I431" s="44" t="s">
        <v>15</v>
      </c>
      <c r="J431" s="44"/>
      <c r="K431" s="87" t="s">
        <v>19</v>
      </c>
      <c r="L431" s="87"/>
    </row>
    <row r="432" spans="2:12" ht="6" customHeight="1" x14ac:dyDescent="0.3">
      <c r="B432" s="36" t="s">
        <v>750</v>
      </c>
      <c r="C432" s="37" t="s">
        <v>17</v>
      </c>
      <c r="D432" s="38"/>
      <c r="E432" s="39" t="s">
        <v>13</v>
      </c>
      <c r="F432" s="40" t="s">
        <v>14</v>
      </c>
      <c r="G432" s="41" t="s">
        <v>751</v>
      </c>
      <c r="H432" s="44"/>
      <c r="I432" s="44" t="s">
        <v>15</v>
      </c>
      <c r="J432" s="44"/>
      <c r="K432" t="s">
        <v>19</v>
      </c>
    </row>
    <row r="433" spans="1:12" ht="25.95" customHeight="1" x14ac:dyDescent="0.3"/>
    <row r="434" spans="1:12" ht="22.05" customHeight="1" thickBot="1" x14ac:dyDescent="0.35">
      <c r="B434" s="33" t="s">
        <v>752</v>
      </c>
      <c r="C434" s="32"/>
      <c r="D434" s="32"/>
      <c r="E434" s="34" t="s">
        <v>419</v>
      </c>
      <c r="F434" s="35"/>
      <c r="G434" s="32"/>
      <c r="H434" s="43" t="s">
        <v>753</v>
      </c>
      <c r="I434" s="43" t="s">
        <v>421</v>
      </c>
      <c r="J434" s="43"/>
    </row>
    <row r="435" spans="1:12" ht="22.05" customHeight="1" x14ac:dyDescent="0.3">
      <c r="B435" s="36" t="s">
        <v>754</v>
      </c>
      <c r="C435" s="37" t="s">
        <v>17</v>
      </c>
      <c r="D435" s="38"/>
      <c r="E435" s="39" t="s">
        <v>419</v>
      </c>
      <c r="F435" s="40"/>
      <c r="G435" s="41" t="s">
        <v>755</v>
      </c>
      <c r="H435" s="44"/>
      <c r="I435" s="44" t="s">
        <v>421</v>
      </c>
      <c r="J435" s="44"/>
      <c r="K435" t="s">
        <v>19</v>
      </c>
    </row>
    <row r="436" spans="1:12" ht="22.05" customHeight="1" x14ac:dyDescent="0.3">
      <c r="B436" s="36" t="s">
        <v>756</v>
      </c>
      <c r="C436" s="37" t="s">
        <v>17</v>
      </c>
      <c r="D436" s="38"/>
      <c r="E436" s="39" t="s">
        <v>419</v>
      </c>
      <c r="F436" s="40"/>
      <c r="G436" s="41" t="s">
        <v>757</v>
      </c>
      <c r="H436" s="44"/>
      <c r="I436" s="44" t="s">
        <v>421</v>
      </c>
      <c r="J436" s="44"/>
      <c r="K436" t="s">
        <v>23</v>
      </c>
    </row>
    <row r="437" spans="1:12" ht="22.05" customHeight="1" x14ac:dyDescent="0.3">
      <c r="B437" s="36" t="s">
        <v>758</v>
      </c>
      <c r="C437" s="37" t="s">
        <v>17</v>
      </c>
      <c r="D437" s="38"/>
      <c r="E437" s="39" t="s">
        <v>419</v>
      </c>
      <c r="F437" s="40"/>
      <c r="G437" s="41" t="s">
        <v>759</v>
      </c>
      <c r="H437" s="44"/>
      <c r="I437" s="44" t="s">
        <v>421</v>
      </c>
      <c r="J437" s="44"/>
      <c r="K437" t="s">
        <v>19</v>
      </c>
    </row>
    <row r="438" spans="1:12" ht="22.05" customHeight="1" x14ac:dyDescent="0.3">
      <c r="B438" s="36" t="s">
        <v>760</v>
      </c>
      <c r="C438" s="37" t="s">
        <v>17</v>
      </c>
      <c r="D438" s="38"/>
      <c r="E438" s="39" t="s">
        <v>419</v>
      </c>
      <c r="F438" s="40"/>
      <c r="G438" s="41" t="s">
        <v>761</v>
      </c>
      <c r="H438" s="44"/>
      <c r="I438" s="44" t="s">
        <v>421</v>
      </c>
      <c r="J438" s="44"/>
      <c r="K438" s="87" t="s">
        <v>23</v>
      </c>
      <c r="L438" s="87"/>
    </row>
    <row r="439" spans="1:12" ht="22.05" customHeight="1" x14ac:dyDescent="0.3">
      <c r="B439" s="36" t="s">
        <v>762</v>
      </c>
      <c r="C439" s="37" t="s">
        <v>17</v>
      </c>
      <c r="D439" s="38"/>
      <c r="E439" s="39" t="s">
        <v>419</v>
      </c>
      <c r="F439" s="40"/>
      <c r="G439" s="41" t="s">
        <v>763</v>
      </c>
      <c r="H439" s="44"/>
      <c r="I439" s="44" t="s">
        <v>421</v>
      </c>
      <c r="J439" s="44"/>
      <c r="K439" t="s">
        <v>38</v>
      </c>
    </row>
    <row r="440" spans="1:12" s="52" customFormat="1" ht="22.05" customHeight="1" x14ac:dyDescent="0.3">
      <c r="A440"/>
      <c r="B440" s="36" t="s">
        <v>1599</v>
      </c>
      <c r="C440" s="61" t="s">
        <v>17</v>
      </c>
      <c r="D440" s="38"/>
      <c r="E440" s="39" t="str">
        <f>E$434</f>
        <v>SVT + Physique-Chimie ou SVT + HGGSP</v>
      </c>
      <c r="F440" s="40"/>
      <c r="G440" s="41" t="s">
        <v>1600</v>
      </c>
      <c r="H440" s="44" t="s">
        <v>1601</v>
      </c>
      <c r="I440" s="44" t="str">
        <f>I$434</f>
        <v>SVT+PC | SVT+HGGSP</v>
      </c>
      <c r="J440" s="44"/>
      <c r="K440" t="s">
        <v>71</v>
      </c>
      <c r="L440"/>
    </row>
    <row r="441" spans="1:12" s="52" customFormat="1" ht="22.05" customHeight="1" x14ac:dyDescent="0.3"/>
    <row r="442" spans="1:12" s="52" customFormat="1" ht="22.05" customHeight="1" thickBot="1" x14ac:dyDescent="0.35">
      <c r="B442" s="33" t="s">
        <v>764</v>
      </c>
      <c r="C442" s="32"/>
      <c r="D442" s="32"/>
      <c r="E442" s="34" t="s">
        <v>13</v>
      </c>
      <c r="F442" s="35"/>
      <c r="G442" s="32"/>
      <c r="H442" s="43" t="s">
        <v>765</v>
      </c>
      <c r="I442" s="43" t="s">
        <v>15</v>
      </c>
      <c r="J442" s="43"/>
    </row>
    <row r="443" spans="1:12" ht="22.05" customHeight="1" x14ac:dyDescent="0.3">
      <c r="B443" s="36" t="s">
        <v>766</v>
      </c>
      <c r="C443" s="37" t="s">
        <v>17</v>
      </c>
      <c r="D443" s="38"/>
      <c r="E443" s="39" t="s">
        <v>13</v>
      </c>
      <c r="F443" s="40"/>
      <c r="G443" s="41" t="s">
        <v>767</v>
      </c>
      <c r="H443" s="44"/>
      <c r="I443" s="44" t="s">
        <v>15</v>
      </c>
      <c r="J443" s="44"/>
      <c r="K443" t="s">
        <v>71</v>
      </c>
    </row>
    <row r="444" spans="1:12" ht="22.05" customHeight="1" x14ac:dyDescent="0.3">
      <c r="B444" s="36" t="s">
        <v>768</v>
      </c>
      <c r="C444" s="37" t="s">
        <v>17</v>
      </c>
      <c r="D444" s="38"/>
      <c r="E444" s="39" t="s">
        <v>13</v>
      </c>
      <c r="F444" s="40"/>
      <c r="G444" s="41" t="s">
        <v>769</v>
      </c>
      <c r="H444" s="44"/>
      <c r="I444" s="44" t="s">
        <v>15</v>
      </c>
      <c r="J444" s="44"/>
      <c r="K444" t="s">
        <v>19</v>
      </c>
    </row>
    <row r="445" spans="1:12" ht="22.05" customHeight="1" x14ac:dyDescent="0.3">
      <c r="B445" s="36" t="s">
        <v>770</v>
      </c>
      <c r="C445" s="101" t="s">
        <v>17</v>
      </c>
      <c r="D445" s="38"/>
      <c r="E445" s="39" t="s">
        <v>13</v>
      </c>
      <c r="F445" s="40"/>
      <c r="G445" s="41" t="s">
        <v>771</v>
      </c>
      <c r="H445" s="44"/>
      <c r="I445" s="44" t="s">
        <v>15</v>
      </c>
      <c r="J445" s="44"/>
      <c r="K445" t="s">
        <v>19</v>
      </c>
    </row>
    <row r="446" spans="1:12" s="52" customFormat="1" ht="22.05" customHeight="1" x14ac:dyDescent="0.3">
      <c r="A446"/>
      <c r="B446" s="88" t="s">
        <v>1559</v>
      </c>
      <c r="C446" s="92" t="s">
        <v>17</v>
      </c>
      <c r="D446" s="89"/>
      <c r="E446" s="39" t="str">
        <f>E$442</f>
        <v>SVT + Physique-Chimie ou SVT + Maths</v>
      </c>
      <c r="F446" s="40"/>
      <c r="G446" s="41" t="s">
        <v>1560</v>
      </c>
      <c r="H446" s="44" t="s">
        <v>1561</v>
      </c>
      <c r="I446" s="44" t="str">
        <f>I$442</f>
        <v>SVT+PC | SVT+Maths</v>
      </c>
      <c r="J446" s="44"/>
      <c r="K446" s="100" t="s">
        <v>71</v>
      </c>
      <c r="L446"/>
    </row>
    <row r="447" spans="1:12" ht="22.05" customHeight="1" x14ac:dyDescent="0.3">
      <c r="B447" s="36" t="s">
        <v>271</v>
      </c>
      <c r="C447" s="91" t="s">
        <v>17</v>
      </c>
      <c r="D447" s="38"/>
      <c r="E447" s="39" t="s">
        <v>13</v>
      </c>
      <c r="F447" s="40"/>
      <c r="G447" s="41" t="s">
        <v>772</v>
      </c>
      <c r="H447" s="44"/>
      <c r="I447" s="44" t="s">
        <v>15</v>
      </c>
      <c r="J447" s="44"/>
      <c r="K447" t="s">
        <v>19</v>
      </c>
    </row>
    <row r="448" spans="1:12" s="52" customFormat="1" ht="22.05" customHeight="1" x14ac:dyDescent="0.3">
      <c r="B448" s="36" t="s">
        <v>773</v>
      </c>
      <c r="C448" s="37" t="s">
        <v>17</v>
      </c>
      <c r="D448" s="70" t="s">
        <v>17</v>
      </c>
      <c r="E448" s="39" t="s">
        <v>13</v>
      </c>
      <c r="F448" s="40"/>
      <c r="G448" s="41" t="s">
        <v>774</v>
      </c>
      <c r="H448" s="44"/>
      <c r="I448" s="44" t="s">
        <v>15</v>
      </c>
      <c r="J448" s="44"/>
      <c r="K448" t="s">
        <v>19</v>
      </c>
    </row>
    <row r="449" spans="1:12" ht="22.05" customHeight="1" x14ac:dyDescent="0.3">
      <c r="B449" s="36" t="s">
        <v>775</v>
      </c>
      <c r="C449" s="90" t="s">
        <v>17</v>
      </c>
      <c r="D449" s="38"/>
      <c r="E449" s="39" t="s">
        <v>13</v>
      </c>
      <c r="F449" s="40"/>
      <c r="G449" s="41" t="s">
        <v>776</v>
      </c>
      <c r="H449" s="44"/>
      <c r="I449" s="44" t="s">
        <v>15</v>
      </c>
      <c r="J449" s="44"/>
      <c r="K449" t="s">
        <v>19</v>
      </c>
    </row>
    <row r="450" spans="1:12" s="52" customFormat="1" ht="22.05" customHeight="1" x14ac:dyDescent="0.3">
      <c r="A450"/>
      <c r="B450" s="88" t="s">
        <v>1411</v>
      </c>
      <c r="C450" s="92" t="s">
        <v>17</v>
      </c>
      <c r="D450" s="89"/>
      <c r="E450" s="39" t="str">
        <f>E$442</f>
        <v>SVT + Physique-Chimie ou SVT + Maths</v>
      </c>
      <c r="F450" s="40"/>
      <c r="G450" s="41" t="s">
        <v>1412</v>
      </c>
      <c r="H450" s="44" t="s">
        <v>1413</v>
      </c>
      <c r="I450" s="44" t="str">
        <f>I$442</f>
        <v>SVT+PC | SVT+Maths</v>
      </c>
      <c r="J450" s="44"/>
      <c r="K450" s="100" t="s">
        <v>23</v>
      </c>
      <c r="L450"/>
    </row>
    <row r="451" spans="1:12" s="52" customFormat="1" ht="22.05" customHeight="1" x14ac:dyDescent="0.3">
      <c r="B451" s="36" t="s">
        <v>777</v>
      </c>
      <c r="C451" s="112" t="s">
        <v>17</v>
      </c>
      <c r="D451" s="38"/>
      <c r="E451" s="39" t="s">
        <v>13</v>
      </c>
      <c r="F451" s="40"/>
      <c r="G451" s="41" t="s">
        <v>778</v>
      </c>
      <c r="H451" s="44"/>
      <c r="I451" s="44" t="s">
        <v>15</v>
      </c>
      <c r="J451" s="44"/>
      <c r="K451" t="s">
        <v>19</v>
      </c>
    </row>
    <row r="452" spans="1:12" s="52" customFormat="1" ht="22.05" customHeight="1" x14ac:dyDescent="0.3">
      <c r="B452" s="36" t="s">
        <v>779</v>
      </c>
      <c r="C452" s="77" t="s">
        <v>17</v>
      </c>
      <c r="D452" s="38"/>
      <c r="E452" s="39" t="s">
        <v>13</v>
      </c>
      <c r="F452" s="40"/>
      <c r="G452" s="41" t="s">
        <v>780</v>
      </c>
      <c r="H452" s="44"/>
      <c r="I452" s="44" t="s">
        <v>15</v>
      </c>
      <c r="J452" s="44"/>
      <c r="K452" t="s">
        <v>19</v>
      </c>
    </row>
    <row r="453" spans="1:12" ht="22.05" customHeight="1" x14ac:dyDescent="0.3">
      <c r="B453" s="36" t="s">
        <v>781</v>
      </c>
      <c r="C453" s="37" t="s">
        <v>17</v>
      </c>
      <c r="D453" s="38"/>
      <c r="E453" s="39" t="s">
        <v>13</v>
      </c>
      <c r="F453" s="40"/>
      <c r="G453" s="41" t="s">
        <v>782</v>
      </c>
      <c r="H453" s="44"/>
      <c r="I453" s="44" t="s">
        <v>15</v>
      </c>
      <c r="J453" s="44"/>
      <c r="K453" t="s">
        <v>71</v>
      </c>
    </row>
    <row r="454" spans="1:12" ht="6" customHeight="1" x14ac:dyDescent="0.3">
      <c r="B454" s="36" t="s">
        <v>398</v>
      </c>
      <c r="C454" s="37" t="s">
        <v>17</v>
      </c>
      <c r="D454" s="38"/>
      <c r="E454" s="39" t="s">
        <v>13</v>
      </c>
      <c r="F454" s="40"/>
      <c r="G454" s="41" t="s">
        <v>399</v>
      </c>
      <c r="H454" s="44"/>
      <c r="I454" s="44" t="s">
        <v>15</v>
      </c>
      <c r="J454" s="44"/>
      <c r="K454" t="s">
        <v>19</v>
      </c>
    </row>
    <row r="455" spans="1:12" ht="25.95" customHeight="1" x14ac:dyDescent="0.3">
      <c r="B455" s="36" t="s">
        <v>377</v>
      </c>
      <c r="C455" s="37" t="s">
        <v>17</v>
      </c>
      <c r="D455" s="42" t="s">
        <v>17</v>
      </c>
      <c r="E455" s="39" t="s">
        <v>13</v>
      </c>
      <c r="F455" s="40"/>
      <c r="G455" s="41" t="s">
        <v>378</v>
      </c>
      <c r="H455" s="44"/>
      <c r="I455" s="44" t="s">
        <v>15</v>
      </c>
      <c r="J455" s="44"/>
      <c r="K455" t="s">
        <v>19</v>
      </c>
    </row>
    <row r="456" spans="1:12" ht="22.05" customHeight="1" x14ac:dyDescent="0.3">
      <c r="B456" s="36" t="s">
        <v>783</v>
      </c>
      <c r="C456" s="37" t="s">
        <v>17</v>
      </c>
      <c r="D456" s="38"/>
      <c r="E456" s="39" t="s">
        <v>13</v>
      </c>
      <c r="F456" s="40"/>
      <c r="G456" s="41" t="s">
        <v>784</v>
      </c>
      <c r="H456" s="44"/>
      <c r="I456" s="44" t="s">
        <v>15</v>
      </c>
      <c r="J456" s="44"/>
      <c r="K456" t="s">
        <v>19</v>
      </c>
    </row>
    <row r="457" spans="1:12" ht="22.05" customHeight="1" x14ac:dyDescent="0.3">
      <c r="B457" s="36" t="s">
        <v>785</v>
      </c>
      <c r="C457" s="77" t="s">
        <v>17</v>
      </c>
      <c r="D457" s="38"/>
      <c r="E457" s="39" t="s">
        <v>13</v>
      </c>
      <c r="F457" s="40"/>
      <c r="G457" s="41" t="s">
        <v>786</v>
      </c>
      <c r="H457" s="44"/>
      <c r="I457" s="44" t="s">
        <v>15</v>
      </c>
      <c r="J457" s="44"/>
      <c r="K457" t="s">
        <v>19</v>
      </c>
    </row>
    <row r="458" spans="1:12" ht="22.05" customHeight="1" x14ac:dyDescent="0.3">
      <c r="B458" s="36" t="s">
        <v>787</v>
      </c>
      <c r="C458" s="37" t="s">
        <v>17</v>
      </c>
      <c r="D458" s="38"/>
      <c r="E458" s="39" t="s">
        <v>13</v>
      </c>
      <c r="F458" s="40"/>
      <c r="G458" s="41" t="s">
        <v>788</v>
      </c>
      <c r="H458" s="44"/>
      <c r="I458" s="44" t="s">
        <v>15</v>
      </c>
      <c r="J458" s="44"/>
      <c r="K458" t="s">
        <v>23</v>
      </c>
    </row>
    <row r="459" spans="1:12" ht="6" customHeight="1" x14ac:dyDescent="0.3">
      <c r="B459" s="36" t="s">
        <v>789</v>
      </c>
      <c r="C459" s="60" t="s">
        <v>17</v>
      </c>
      <c r="D459" s="38"/>
      <c r="E459" s="39" t="s">
        <v>13</v>
      </c>
      <c r="F459" s="40"/>
      <c r="G459" s="41" t="s">
        <v>790</v>
      </c>
      <c r="H459" s="44"/>
      <c r="I459" s="44" t="s">
        <v>15</v>
      </c>
      <c r="J459" s="44"/>
      <c r="K459" t="s">
        <v>23</v>
      </c>
    </row>
    <row r="460" spans="1:12" ht="25.95" customHeight="1" x14ac:dyDescent="0.3">
      <c r="B460" s="36" t="s">
        <v>791</v>
      </c>
      <c r="C460" s="60" t="s">
        <v>17</v>
      </c>
      <c r="D460" s="38"/>
      <c r="E460" s="39" t="s">
        <v>792</v>
      </c>
      <c r="F460" s="40"/>
      <c r="G460" s="41" t="s">
        <v>793</v>
      </c>
      <c r="H460" s="44" t="s">
        <v>794</v>
      </c>
      <c r="I460" s="44" t="s">
        <v>795</v>
      </c>
      <c r="J460" s="44"/>
      <c r="K460" t="s">
        <v>23</v>
      </c>
    </row>
    <row r="461" spans="1:12" ht="22.05" customHeight="1" x14ac:dyDescent="0.3">
      <c r="B461" s="36" t="s">
        <v>796</v>
      </c>
      <c r="C461" s="37" t="s">
        <v>17</v>
      </c>
      <c r="D461" s="38"/>
      <c r="E461" s="39" t="s">
        <v>13</v>
      </c>
      <c r="F461" s="40"/>
      <c r="G461" s="41" t="s">
        <v>797</v>
      </c>
      <c r="H461" s="44"/>
      <c r="I461" s="44" t="s">
        <v>15</v>
      </c>
      <c r="J461" s="44"/>
      <c r="K461" s="87" t="s">
        <v>19</v>
      </c>
      <c r="L461" s="87"/>
    </row>
    <row r="462" spans="1:12" s="52" customFormat="1" ht="22.05" customHeight="1" x14ac:dyDescent="0.3">
      <c r="A462"/>
      <c r="B462" s="88" t="s">
        <v>1577</v>
      </c>
      <c r="C462" s="61" t="s">
        <v>17</v>
      </c>
      <c r="D462" s="89"/>
      <c r="E462" s="39" t="str">
        <f>E$442</f>
        <v>SVT + Physique-Chimie ou SVT + Maths</v>
      </c>
      <c r="F462" s="40"/>
      <c r="G462" s="41" t="s">
        <v>1578</v>
      </c>
      <c r="H462" s="44" t="s">
        <v>1579</v>
      </c>
      <c r="I462" s="44" t="str">
        <f>I$442</f>
        <v>SVT+PC | SVT+Maths</v>
      </c>
      <c r="J462" s="44"/>
      <c r="K462" s="100" t="s">
        <v>71</v>
      </c>
      <c r="L462"/>
    </row>
    <row r="463" spans="1:12" s="52" customFormat="1" ht="22.05" customHeight="1" x14ac:dyDescent="0.3">
      <c r="A463"/>
      <c r="B463" s="88" t="s">
        <v>1580</v>
      </c>
      <c r="C463" s="61" t="s">
        <v>17</v>
      </c>
      <c r="D463" s="89"/>
      <c r="E463" s="39" t="str">
        <f>E$442</f>
        <v>SVT + Physique-Chimie ou SVT + Maths</v>
      </c>
      <c r="F463" s="40"/>
      <c r="G463" s="41" t="s">
        <v>1581</v>
      </c>
      <c r="H463" s="44"/>
      <c r="I463" s="44" t="str">
        <f>I$442</f>
        <v>SVT+PC | SVT+Maths</v>
      </c>
      <c r="J463" s="44"/>
      <c r="K463" s="100" t="s">
        <v>71</v>
      </c>
      <c r="L463"/>
    </row>
    <row r="464" spans="1:12" s="52" customFormat="1" ht="22.05" customHeight="1" x14ac:dyDescent="0.3">
      <c r="A464"/>
      <c r="B464" s="88" t="s">
        <v>1596</v>
      </c>
      <c r="C464" s="61" t="s">
        <v>17</v>
      </c>
      <c r="D464" s="89"/>
      <c r="E464" s="39" t="str">
        <f>E$442</f>
        <v>SVT + Physique-Chimie ou SVT + Maths</v>
      </c>
      <c r="F464" s="40"/>
      <c r="G464" s="41" t="s">
        <v>1597</v>
      </c>
      <c r="H464" s="44" t="s">
        <v>1598</v>
      </c>
      <c r="I464" s="44" t="str">
        <f>I$442</f>
        <v>SVT+PC | SVT+Maths</v>
      </c>
      <c r="J464" s="44"/>
      <c r="K464" s="100" t="s">
        <v>71</v>
      </c>
      <c r="L464"/>
    </row>
    <row r="465" spans="1:12" ht="22.05" customHeight="1" x14ac:dyDescent="0.3"/>
    <row r="466" spans="1:12" ht="22.05" customHeight="1" thickBot="1" x14ac:dyDescent="0.35">
      <c r="B466" s="33" t="s">
        <v>798</v>
      </c>
      <c r="C466" s="32"/>
      <c r="D466" s="32"/>
      <c r="E466" s="34" t="s">
        <v>13</v>
      </c>
      <c r="F466" s="35"/>
      <c r="G466" s="32"/>
      <c r="H466" s="43" t="s">
        <v>799</v>
      </c>
      <c r="I466" s="43" t="s">
        <v>15</v>
      </c>
      <c r="J466" s="43"/>
    </row>
    <row r="467" spans="1:12" ht="22.05" customHeight="1" x14ac:dyDescent="0.3">
      <c r="B467" s="36" t="s">
        <v>800</v>
      </c>
      <c r="C467" s="37" t="s">
        <v>17</v>
      </c>
      <c r="D467" s="38"/>
      <c r="E467" s="39" t="s">
        <v>13</v>
      </c>
      <c r="F467" s="40"/>
      <c r="G467" s="41" t="s">
        <v>801</v>
      </c>
      <c r="H467" s="44"/>
      <c r="I467" s="44" t="s">
        <v>15</v>
      </c>
      <c r="J467" s="44"/>
      <c r="K467" t="s">
        <v>71</v>
      </c>
    </row>
    <row r="468" spans="1:12" ht="22.05" customHeight="1" x14ac:dyDescent="0.3">
      <c r="B468" s="36" t="s">
        <v>802</v>
      </c>
      <c r="C468" s="37" t="s">
        <v>17</v>
      </c>
      <c r="D468" s="38"/>
      <c r="E468" s="39" t="s">
        <v>13</v>
      </c>
      <c r="F468" s="40"/>
      <c r="G468" s="41" t="s">
        <v>803</v>
      </c>
      <c r="H468" s="44"/>
      <c r="I468" s="44" t="s">
        <v>15</v>
      </c>
      <c r="J468" s="44"/>
      <c r="K468" t="s">
        <v>71</v>
      </c>
    </row>
    <row r="469" spans="1:12" ht="22.05" customHeight="1" x14ac:dyDescent="0.3">
      <c r="B469" s="36" t="s">
        <v>804</v>
      </c>
      <c r="C469" s="101" t="s">
        <v>17</v>
      </c>
      <c r="D469" s="38"/>
      <c r="E469" s="39" t="s">
        <v>13</v>
      </c>
      <c r="F469" s="40"/>
      <c r="G469" s="41" t="s">
        <v>805</v>
      </c>
      <c r="H469" s="44"/>
      <c r="I469" s="44" t="s">
        <v>15</v>
      </c>
      <c r="J469" s="44"/>
      <c r="K469" t="s">
        <v>71</v>
      </c>
    </row>
    <row r="470" spans="1:12" s="52" customFormat="1" ht="22.05" customHeight="1" x14ac:dyDescent="0.3">
      <c r="A470"/>
      <c r="B470" s="88" t="s">
        <v>1534</v>
      </c>
      <c r="C470" s="92" t="s">
        <v>17</v>
      </c>
      <c r="D470" s="89"/>
      <c r="E470" s="39" t="str">
        <f>E$466</f>
        <v>SVT + Physique-Chimie ou SVT + Maths</v>
      </c>
      <c r="F470" s="40"/>
      <c r="G470" s="41" t="s">
        <v>1535</v>
      </c>
      <c r="H470" s="44" t="s">
        <v>1536</v>
      </c>
      <c r="I470" s="44" t="str">
        <f>I$466</f>
        <v>SVT+PC | SVT+Maths</v>
      </c>
      <c r="J470" s="44"/>
      <c r="K470" s="100" t="s">
        <v>71</v>
      </c>
      <c r="L470"/>
    </row>
    <row r="471" spans="1:12" s="52" customFormat="1" ht="22.05" customHeight="1" x14ac:dyDescent="0.3">
      <c r="A471"/>
      <c r="B471" s="88" t="s">
        <v>1582</v>
      </c>
      <c r="C471" s="61" t="s">
        <v>17</v>
      </c>
      <c r="D471" s="89"/>
      <c r="E471" s="39" t="str">
        <f>E$466</f>
        <v>SVT + Physique-Chimie ou SVT + Maths</v>
      </c>
      <c r="F471" s="40"/>
      <c r="G471" s="41" t="s">
        <v>1583</v>
      </c>
      <c r="H471" s="44" t="s">
        <v>1584</v>
      </c>
      <c r="I471" s="44" t="str">
        <f>I$466</f>
        <v>SVT+PC | SVT+Maths</v>
      </c>
      <c r="J471" s="44"/>
      <c r="K471" s="100" t="s">
        <v>71</v>
      </c>
      <c r="L471"/>
    </row>
    <row r="472" spans="1:12" s="52" customFormat="1" ht="22.05" customHeight="1" x14ac:dyDescent="0.3">
      <c r="B472" s="88" t="s">
        <v>1628</v>
      </c>
      <c r="C472" s="162" t="s">
        <v>17</v>
      </c>
      <c r="D472" s="89"/>
      <c r="E472" s="39" t="str">
        <f>E$466</f>
        <v>SVT + Physique-Chimie ou SVT + Maths</v>
      </c>
      <c r="F472" s="40"/>
      <c r="G472" s="41" t="s">
        <v>1629</v>
      </c>
      <c r="H472" s="44"/>
      <c r="I472" s="44" t="str">
        <f>I$466</f>
        <v>SVT+PC | SVT+Maths</v>
      </c>
      <c r="J472" s="44"/>
      <c r="K472" s="100" t="s">
        <v>71</v>
      </c>
      <c r="L472"/>
    </row>
    <row r="473" spans="1:12" s="52" customFormat="1" ht="22.05" customHeight="1" x14ac:dyDescent="0.3">
      <c r="B473" s="88" t="s">
        <v>1633</v>
      </c>
      <c r="C473" s="161" t="s">
        <v>17</v>
      </c>
      <c r="D473" s="89"/>
      <c r="E473" s="39" t="str">
        <f>E$466</f>
        <v>SVT + Physique-Chimie ou SVT + Maths</v>
      </c>
      <c r="F473" s="40"/>
      <c r="G473" s="41" t="s">
        <v>1634</v>
      </c>
      <c r="H473" s="44"/>
      <c r="I473" s="44" t="str">
        <f>I$466</f>
        <v>SVT+PC | SVT+Maths</v>
      </c>
      <c r="J473" s="44"/>
      <c r="K473" s="100" t="s">
        <v>71</v>
      </c>
      <c r="L473"/>
    </row>
    <row r="474" spans="1:12" s="52" customFormat="1" ht="22.05" customHeight="1" x14ac:dyDescent="0.3"/>
    <row r="475" spans="1:12" s="52" customFormat="1" ht="22.05" customHeight="1" thickBot="1" x14ac:dyDescent="0.35">
      <c r="B475" s="33" t="s">
        <v>806</v>
      </c>
      <c r="C475" s="32"/>
      <c r="D475" s="32"/>
      <c r="E475" s="34" t="s">
        <v>13</v>
      </c>
      <c r="F475" s="35"/>
      <c r="G475" s="32"/>
      <c r="H475" s="43" t="s">
        <v>807</v>
      </c>
      <c r="I475" s="43" t="s">
        <v>15</v>
      </c>
      <c r="J475" s="43"/>
    </row>
    <row r="476" spans="1:12" s="52" customFormat="1" ht="22.05" customHeight="1" x14ac:dyDescent="0.3">
      <c r="B476" s="36" t="s">
        <v>808</v>
      </c>
      <c r="C476" s="37" t="s">
        <v>17</v>
      </c>
      <c r="D476" s="103"/>
      <c r="E476" s="39" t="s">
        <v>13</v>
      </c>
      <c r="F476" s="40"/>
      <c r="G476" s="41" t="s">
        <v>809</v>
      </c>
      <c r="H476" s="44"/>
      <c r="I476" s="44" t="s">
        <v>15</v>
      </c>
      <c r="J476" s="44"/>
      <c r="K476" t="s">
        <v>19</v>
      </c>
    </row>
    <row r="477" spans="1:12" ht="6" customHeight="1" x14ac:dyDescent="0.3">
      <c r="B477" s="36" t="s">
        <v>810</v>
      </c>
      <c r="C477" s="64" t="s">
        <v>17</v>
      </c>
      <c r="D477" s="105" t="s">
        <v>17</v>
      </c>
      <c r="E477" s="65" t="s">
        <v>13</v>
      </c>
      <c r="F477" s="40"/>
      <c r="G477" s="41" t="s">
        <v>811</v>
      </c>
      <c r="H477" s="44"/>
      <c r="I477" s="44" t="s">
        <v>15</v>
      </c>
      <c r="J477" s="44"/>
      <c r="K477" t="s">
        <v>23</v>
      </c>
    </row>
    <row r="478" spans="1:12" ht="25.95" customHeight="1" x14ac:dyDescent="0.3">
      <c r="B478" s="36" t="s">
        <v>812</v>
      </c>
      <c r="C478" s="101" t="s">
        <v>17</v>
      </c>
      <c r="D478" s="67"/>
      <c r="E478" s="39" t="s">
        <v>13</v>
      </c>
      <c r="F478" s="40"/>
      <c r="G478" s="41" t="s">
        <v>813</v>
      </c>
      <c r="H478" s="44"/>
      <c r="I478" s="71" t="s">
        <v>15</v>
      </c>
      <c r="J478" s="71"/>
      <c r="K478" t="s">
        <v>19</v>
      </c>
    </row>
    <row r="479" spans="1:12" s="52" customFormat="1" ht="25.95" customHeight="1" x14ac:dyDescent="0.3">
      <c r="A479"/>
      <c r="B479" s="88" t="s">
        <v>1307</v>
      </c>
      <c r="C479" s="92" t="s">
        <v>17</v>
      </c>
      <c r="D479" s="104"/>
      <c r="E479" s="39" t="str">
        <f>E$475</f>
        <v>SVT + Physique-Chimie ou SVT + Maths</v>
      </c>
      <c r="F479" s="40"/>
      <c r="G479" s="41" t="s">
        <v>1308</v>
      </c>
      <c r="H479" s="44" t="s">
        <v>1309</v>
      </c>
      <c r="I479" s="71" t="str">
        <f>I$475</f>
        <v>SVT+PC | SVT+Maths</v>
      </c>
      <c r="J479" s="71"/>
      <c r="K479" s="100" t="s">
        <v>19</v>
      </c>
      <c r="L479"/>
    </row>
    <row r="480" spans="1:12" ht="22.05" customHeight="1" x14ac:dyDescent="0.3">
      <c r="B480" s="36" t="s">
        <v>814</v>
      </c>
      <c r="C480" s="91" t="s">
        <v>17</v>
      </c>
      <c r="D480" s="38"/>
      <c r="E480" s="39" t="s">
        <v>13</v>
      </c>
      <c r="F480" s="40"/>
      <c r="G480" s="41" t="s">
        <v>815</v>
      </c>
      <c r="H480" s="44"/>
      <c r="I480" s="44" t="s">
        <v>15</v>
      </c>
      <c r="J480" s="44"/>
      <c r="K480" t="s">
        <v>71</v>
      </c>
    </row>
    <row r="481" spans="2:12" ht="22.05" customHeight="1" x14ac:dyDescent="0.3">
      <c r="B481" s="36" t="s">
        <v>220</v>
      </c>
      <c r="C481" s="37" t="s">
        <v>17</v>
      </c>
      <c r="D481" s="38"/>
      <c r="E481" s="39" t="s">
        <v>13</v>
      </c>
      <c r="F481" s="40"/>
      <c r="G481" s="41" t="s">
        <v>221</v>
      </c>
      <c r="H481" s="44"/>
      <c r="I481" s="44" t="s">
        <v>15</v>
      </c>
      <c r="J481" s="44"/>
      <c r="K481" t="s">
        <v>19</v>
      </c>
    </row>
    <row r="482" spans="2:12" ht="22.05" customHeight="1" x14ac:dyDescent="0.3">
      <c r="B482" s="36" t="s">
        <v>222</v>
      </c>
      <c r="C482" s="37" t="s">
        <v>17</v>
      </c>
      <c r="D482" s="38"/>
      <c r="E482" s="39" t="s">
        <v>13</v>
      </c>
      <c r="F482" s="40"/>
      <c r="G482" s="41" t="s">
        <v>223</v>
      </c>
      <c r="H482" s="44"/>
      <c r="I482" s="44" t="s">
        <v>15</v>
      </c>
      <c r="J482" s="44"/>
      <c r="K482" t="s">
        <v>19</v>
      </c>
    </row>
    <row r="483" spans="2:12" ht="22.05" customHeight="1" x14ac:dyDescent="0.3">
      <c r="B483" s="36" t="s">
        <v>230</v>
      </c>
      <c r="C483" s="60" t="s">
        <v>17</v>
      </c>
      <c r="D483" s="38"/>
      <c r="E483" s="39" t="s">
        <v>13</v>
      </c>
      <c r="F483" s="40"/>
      <c r="G483" s="41" t="s">
        <v>816</v>
      </c>
      <c r="H483" s="44"/>
      <c r="I483" s="44" t="s">
        <v>15</v>
      </c>
      <c r="J483" s="44"/>
      <c r="K483" t="s">
        <v>23</v>
      </c>
    </row>
    <row r="484" spans="2:12" ht="22.05" customHeight="1" x14ac:dyDescent="0.3">
      <c r="B484" s="36" t="s">
        <v>234</v>
      </c>
      <c r="C484" s="62" t="s">
        <v>17</v>
      </c>
      <c r="D484" s="38"/>
      <c r="E484" s="39" t="s">
        <v>40</v>
      </c>
      <c r="F484" s="40"/>
      <c r="G484" s="41" t="s">
        <v>235</v>
      </c>
      <c r="H484" s="44"/>
      <c r="I484" s="44" t="s">
        <v>43</v>
      </c>
      <c r="J484" s="44"/>
      <c r="K484" t="s">
        <v>23</v>
      </c>
    </row>
    <row r="485" spans="2:12" ht="22.05" customHeight="1" x14ac:dyDescent="0.3">
      <c r="B485" s="36" t="s">
        <v>817</v>
      </c>
      <c r="C485" s="77" t="s">
        <v>17</v>
      </c>
      <c r="D485" s="38"/>
      <c r="E485" s="39" t="s">
        <v>99</v>
      </c>
      <c r="F485" s="40"/>
      <c r="G485" s="41" t="s">
        <v>818</v>
      </c>
      <c r="H485" s="44"/>
      <c r="I485" s="44" t="s">
        <v>101</v>
      </c>
      <c r="J485" s="44"/>
      <c r="K485" t="s">
        <v>1417</v>
      </c>
    </row>
    <row r="486" spans="2:12" s="52" customFormat="1" ht="22.05" customHeight="1" x14ac:dyDescent="0.3"/>
    <row r="487" spans="2:12" s="52" customFormat="1" ht="22.05" customHeight="1" thickBot="1" x14ac:dyDescent="0.35">
      <c r="B487" s="33" t="s">
        <v>819</v>
      </c>
      <c r="C487" s="32"/>
      <c r="D487" s="32"/>
      <c r="E487" s="34" t="s">
        <v>820</v>
      </c>
      <c r="F487" s="35"/>
      <c r="G487" s="32"/>
      <c r="H487" s="43" t="s">
        <v>821</v>
      </c>
      <c r="I487" s="43" t="s">
        <v>822</v>
      </c>
      <c r="J487" s="43"/>
    </row>
    <row r="488" spans="2:12" s="52" customFormat="1" ht="22.05" customHeight="1" x14ac:dyDescent="0.3">
      <c r="B488" s="36" t="s">
        <v>823</v>
      </c>
      <c r="C488" s="37" t="s">
        <v>17</v>
      </c>
      <c r="D488" s="38"/>
      <c r="E488" s="39" t="s">
        <v>820</v>
      </c>
      <c r="F488" s="40"/>
      <c r="G488" s="41" t="s">
        <v>824</v>
      </c>
      <c r="H488" s="44"/>
      <c r="I488" s="44" t="s">
        <v>822</v>
      </c>
      <c r="J488" s="44"/>
      <c r="K488" t="s">
        <v>23</v>
      </c>
    </row>
    <row r="489" spans="2:12" ht="6" customHeight="1" x14ac:dyDescent="0.3">
      <c r="B489" s="36" t="s">
        <v>825</v>
      </c>
      <c r="C489" s="37" t="s">
        <v>17</v>
      </c>
      <c r="D489" s="38"/>
      <c r="E489" s="39" t="s">
        <v>820</v>
      </c>
      <c r="F489" s="40"/>
      <c r="G489" s="41" t="s">
        <v>826</v>
      </c>
      <c r="H489" s="44"/>
      <c r="I489" s="44" t="s">
        <v>822</v>
      </c>
      <c r="J489" s="44"/>
      <c r="K489" t="s">
        <v>71</v>
      </c>
    </row>
    <row r="490" spans="2:12" ht="30" customHeight="1" x14ac:dyDescent="0.3">
      <c r="B490" s="36" t="s">
        <v>827</v>
      </c>
      <c r="C490" s="37" t="s">
        <v>17</v>
      </c>
      <c r="D490" s="38"/>
      <c r="E490" s="39" t="s">
        <v>820</v>
      </c>
      <c r="F490" s="40"/>
      <c r="G490" s="41" t="s">
        <v>828</v>
      </c>
      <c r="H490" s="44"/>
      <c r="I490" s="44" t="s">
        <v>822</v>
      </c>
      <c r="J490" s="44"/>
      <c r="K490" t="s">
        <v>23</v>
      </c>
    </row>
    <row r="491" spans="2:12" ht="22.05" customHeight="1" x14ac:dyDescent="0.3">
      <c r="B491" s="36" t="s">
        <v>677</v>
      </c>
      <c r="C491" s="37" t="s">
        <v>17</v>
      </c>
      <c r="D491" s="38"/>
      <c r="E491" s="39" t="s">
        <v>820</v>
      </c>
      <c r="F491" s="40"/>
      <c r="G491" s="41" t="s">
        <v>678</v>
      </c>
      <c r="H491" s="44"/>
      <c r="I491" s="44" t="s">
        <v>822</v>
      </c>
      <c r="J491" s="44"/>
      <c r="K491" t="s">
        <v>19</v>
      </c>
    </row>
    <row r="492" spans="2:12" ht="22.05" customHeight="1" x14ac:dyDescent="0.3">
      <c r="B492" s="36" t="s">
        <v>829</v>
      </c>
      <c r="C492" s="37" t="s">
        <v>17</v>
      </c>
      <c r="D492" s="38"/>
      <c r="E492" s="39" t="s">
        <v>820</v>
      </c>
      <c r="F492" s="40"/>
      <c r="G492" s="41" t="s">
        <v>830</v>
      </c>
      <c r="H492" s="44"/>
      <c r="I492" s="44" t="s">
        <v>822</v>
      </c>
      <c r="J492" s="44"/>
      <c r="K492" t="s">
        <v>19</v>
      </c>
    </row>
    <row r="493" spans="2:12" ht="22.05" customHeight="1" x14ac:dyDescent="0.3">
      <c r="B493" s="36" t="s">
        <v>424</v>
      </c>
      <c r="C493" s="37" t="s">
        <v>17</v>
      </c>
      <c r="D493" s="38"/>
      <c r="E493" s="39" t="s">
        <v>820</v>
      </c>
      <c r="F493" s="40"/>
      <c r="G493" s="41" t="s">
        <v>425</v>
      </c>
      <c r="H493" s="44"/>
      <c r="I493" s="44" t="s">
        <v>822</v>
      </c>
      <c r="J493" s="44"/>
      <c r="K493" s="87" t="s">
        <v>19</v>
      </c>
      <c r="L493" s="87"/>
    </row>
    <row r="494" spans="2:12" s="52" customFormat="1" ht="22.05" customHeight="1" x14ac:dyDescent="0.3">
      <c r="B494" s="36" t="s">
        <v>831</v>
      </c>
      <c r="C494" s="77" t="s">
        <v>17</v>
      </c>
      <c r="D494" s="38"/>
      <c r="E494" s="39" t="s">
        <v>99</v>
      </c>
      <c r="F494" s="40"/>
      <c r="G494" s="41" t="s">
        <v>832</v>
      </c>
      <c r="H494" s="44"/>
      <c r="I494" s="44" t="s">
        <v>101</v>
      </c>
      <c r="J494" s="44"/>
      <c r="K494" t="s">
        <v>23</v>
      </c>
    </row>
    <row r="495" spans="2:12" s="52" customFormat="1" ht="22.05" customHeight="1" x14ac:dyDescent="0.3">
      <c r="B495" s="36" t="s">
        <v>833</v>
      </c>
      <c r="C495" s="77" t="s">
        <v>17</v>
      </c>
      <c r="D495" s="38"/>
      <c r="E495" s="39" t="s">
        <v>99</v>
      </c>
      <c r="F495" s="40"/>
      <c r="G495" s="41" t="s">
        <v>834</v>
      </c>
      <c r="H495" s="44"/>
      <c r="I495" s="44" t="s">
        <v>101</v>
      </c>
      <c r="J495" s="44"/>
      <c r="K495" t="s">
        <v>23</v>
      </c>
    </row>
    <row r="496" spans="2:12" s="52" customFormat="1" ht="22.05" customHeight="1" x14ac:dyDescent="0.3">
      <c r="B496" s="36" t="s">
        <v>683</v>
      </c>
      <c r="C496" s="77" t="s">
        <v>17</v>
      </c>
      <c r="D496" s="38"/>
      <c r="E496" s="39" t="s">
        <v>820</v>
      </c>
      <c r="F496" s="40"/>
      <c r="G496" s="41" t="s">
        <v>835</v>
      </c>
      <c r="H496" s="44"/>
      <c r="I496" s="44" t="s">
        <v>822</v>
      </c>
      <c r="J496" s="44"/>
      <c r="K496" t="s">
        <v>71</v>
      </c>
    </row>
    <row r="497" spans="1:12" s="52" customFormat="1" ht="22.05" customHeight="1" x14ac:dyDescent="0.3">
      <c r="B497" s="36" t="s">
        <v>1588</v>
      </c>
      <c r="C497" s="61" t="s">
        <v>17</v>
      </c>
      <c r="D497" s="38"/>
      <c r="E497" s="39" t="str">
        <f>E$487</f>
        <v>SVT + Physique-Chimie (psychiatrie) ou SVT + SES (psychologie)</v>
      </c>
      <c r="F497" s="40"/>
      <c r="G497" s="41" t="s">
        <v>1589</v>
      </c>
      <c r="H497" s="44"/>
      <c r="I497" s="44" t="str">
        <f>I$487</f>
        <v>SVT+PC | SVT+SES</v>
      </c>
      <c r="J497" s="44"/>
      <c r="K497" t="s">
        <v>71</v>
      </c>
    </row>
    <row r="498" spans="1:12" s="52" customFormat="1" ht="22.05" customHeight="1" x14ac:dyDescent="0.3"/>
    <row r="499" spans="1:12" s="52" customFormat="1" ht="22.05" customHeight="1" thickBot="1" x14ac:dyDescent="0.35">
      <c r="B499" s="33" t="s">
        <v>836</v>
      </c>
      <c r="C499" s="32"/>
      <c r="D499" s="32"/>
      <c r="E499" s="34" t="s">
        <v>837</v>
      </c>
      <c r="F499" s="35" t="s">
        <v>344</v>
      </c>
      <c r="G499" s="32"/>
      <c r="H499" s="43" t="s">
        <v>838</v>
      </c>
      <c r="I499" s="43" t="s">
        <v>839</v>
      </c>
      <c r="J499" s="43"/>
    </row>
    <row r="500" spans="1:12" s="52" customFormat="1" ht="22.05" customHeight="1" x14ac:dyDescent="0.3">
      <c r="B500" s="36" t="s">
        <v>840</v>
      </c>
      <c r="C500" s="37" t="s">
        <v>17</v>
      </c>
      <c r="D500" s="38"/>
      <c r="E500" s="39" t="s">
        <v>841</v>
      </c>
      <c r="F500" s="40" t="s">
        <v>344</v>
      </c>
      <c r="G500" s="41" t="s">
        <v>842</v>
      </c>
      <c r="H500" s="44"/>
      <c r="I500" s="44" t="s">
        <v>843</v>
      </c>
      <c r="J500" s="44"/>
      <c r="K500" t="s">
        <v>19</v>
      </c>
    </row>
    <row r="501" spans="1:12" s="52" customFormat="1" ht="22.05" customHeight="1" x14ac:dyDescent="0.3">
      <c r="B501" s="36" t="s">
        <v>844</v>
      </c>
      <c r="C501" s="37" t="s">
        <v>17</v>
      </c>
      <c r="D501" s="38"/>
      <c r="E501" s="39" t="s">
        <v>841</v>
      </c>
      <c r="F501" s="40" t="s">
        <v>344</v>
      </c>
      <c r="G501" s="41" t="s">
        <v>845</v>
      </c>
      <c r="H501" s="44"/>
      <c r="I501" s="44" t="s">
        <v>843</v>
      </c>
      <c r="J501" s="44"/>
      <c r="K501" t="s">
        <v>19</v>
      </c>
    </row>
    <row r="502" spans="1:12" s="52" customFormat="1" ht="22.05" customHeight="1" x14ac:dyDescent="0.3">
      <c r="B502" s="36" t="s">
        <v>846</v>
      </c>
      <c r="C502" s="37" t="s">
        <v>17</v>
      </c>
      <c r="D502" s="38"/>
      <c r="E502" s="39" t="s">
        <v>841</v>
      </c>
      <c r="F502" s="40" t="s">
        <v>344</v>
      </c>
      <c r="G502" s="41" t="s">
        <v>847</v>
      </c>
      <c r="H502" s="44"/>
      <c r="I502" s="44" t="s">
        <v>843</v>
      </c>
      <c r="J502" s="44"/>
      <c r="K502" t="s">
        <v>19</v>
      </c>
    </row>
    <row r="503" spans="1:12" ht="6" customHeight="1" x14ac:dyDescent="0.3">
      <c r="B503" s="36" t="s">
        <v>848</v>
      </c>
      <c r="C503" s="54" t="s">
        <v>17</v>
      </c>
      <c r="D503" s="38"/>
      <c r="E503" s="39" t="str">
        <f>E499</f>
        <v>SVT + SES ou SVT + HGGSP ou SVT + Maths</v>
      </c>
      <c r="F503" s="40" t="str">
        <f>F499</f>
        <v>DGEMC conseillée (option Tle)</v>
      </c>
      <c r="G503" s="41" t="s">
        <v>849</v>
      </c>
      <c r="H503" s="44"/>
      <c r="I503" s="44" t="str">
        <f>I499</f>
        <v>SVT+* | SVT+SES | SVT+HGGSP | SVT+Maths</v>
      </c>
      <c r="J503" s="44"/>
      <c r="K503" t="s">
        <v>19</v>
      </c>
    </row>
    <row r="504" spans="1:12" ht="25.95" customHeight="1" x14ac:dyDescent="0.3">
      <c r="B504" s="36" t="s">
        <v>850</v>
      </c>
      <c r="C504" s="68" t="s">
        <v>17</v>
      </c>
      <c r="D504" s="38"/>
      <c r="E504" s="39" t="str">
        <f t="shared" ref="E504:F506" si="27">E$499</f>
        <v>SVT + SES ou SVT + HGGSP ou SVT + Maths</v>
      </c>
      <c r="F504" s="40" t="str">
        <f t="shared" si="27"/>
        <v>DGEMC conseillée (option Tle)</v>
      </c>
      <c r="G504" s="41" t="s">
        <v>851</v>
      </c>
      <c r="H504" s="44"/>
      <c r="I504" s="44" t="str">
        <f>I$499</f>
        <v>SVT+* | SVT+SES | SVT+HGGSP | SVT+Maths</v>
      </c>
      <c r="J504" s="44"/>
      <c r="K504" t="s">
        <v>19</v>
      </c>
    </row>
    <row r="505" spans="1:12" ht="22.05" customHeight="1" x14ac:dyDescent="0.3">
      <c r="B505" s="36" t="s">
        <v>852</v>
      </c>
      <c r="C505" s="68" t="s">
        <v>17</v>
      </c>
      <c r="D505" s="38"/>
      <c r="E505" s="39" t="str">
        <f t="shared" si="27"/>
        <v>SVT + SES ou SVT + HGGSP ou SVT + Maths</v>
      </c>
      <c r="F505" s="40" t="str">
        <f t="shared" si="27"/>
        <v>DGEMC conseillée (option Tle)</v>
      </c>
      <c r="G505" s="41" t="s">
        <v>853</v>
      </c>
      <c r="H505" s="44"/>
      <c r="I505" s="44" t="str">
        <f>I$499</f>
        <v>SVT+* | SVT+SES | SVT+HGGSP | SVT+Maths</v>
      </c>
      <c r="J505" s="44"/>
      <c r="K505" t="s">
        <v>19</v>
      </c>
    </row>
    <row r="506" spans="1:12" ht="22.05" customHeight="1" x14ac:dyDescent="0.3">
      <c r="B506" s="36" t="s">
        <v>599</v>
      </c>
      <c r="C506" s="54" t="s">
        <v>17</v>
      </c>
      <c r="D506" s="38"/>
      <c r="E506" s="39" t="str">
        <f t="shared" si="27"/>
        <v>SVT + SES ou SVT + HGGSP ou SVT + Maths</v>
      </c>
      <c r="F506" s="40" t="str">
        <f t="shared" si="27"/>
        <v>DGEMC conseillée (option Tle)</v>
      </c>
      <c r="G506" s="41" t="s">
        <v>854</v>
      </c>
      <c r="H506" s="44"/>
      <c r="I506" s="44" t="str">
        <f>I$499</f>
        <v>SVT+* | SVT+SES | SVT+HGGSP | SVT+Maths</v>
      </c>
      <c r="J506" s="44"/>
      <c r="K506" t="s">
        <v>19</v>
      </c>
    </row>
    <row r="507" spans="1:12" ht="22.05" customHeight="1" x14ac:dyDescent="0.3">
      <c r="B507" s="36" t="s">
        <v>81</v>
      </c>
      <c r="C507" s="54" t="s">
        <v>17</v>
      </c>
      <c r="D507" s="38"/>
      <c r="E507" s="39" t="str">
        <f>E506</f>
        <v>SVT + SES ou SVT + HGGSP ou SVT + Maths</v>
      </c>
      <c r="F507" s="40" t="str">
        <f>F506</f>
        <v>DGEMC conseillée (option Tle)</v>
      </c>
      <c r="G507" s="41" t="s">
        <v>82</v>
      </c>
      <c r="H507" s="44" t="s">
        <v>83</v>
      </c>
      <c r="I507" s="44" t="str">
        <f>I506</f>
        <v>SVT+* | SVT+SES | SVT+HGGSP | SVT+Maths</v>
      </c>
      <c r="J507" s="44"/>
      <c r="K507" t="s">
        <v>19</v>
      </c>
    </row>
    <row r="508" spans="1:12" ht="22.05" customHeight="1" x14ac:dyDescent="0.3">
      <c r="B508" s="36" t="s">
        <v>738</v>
      </c>
      <c r="C508" s="77" t="s">
        <v>17</v>
      </c>
      <c r="D508" s="38"/>
      <c r="E508" s="39" t="str">
        <f>E507</f>
        <v>SVT + SES ou SVT + HGGSP ou SVT + Maths</v>
      </c>
      <c r="F508" s="40" t="str">
        <f>F507</f>
        <v>DGEMC conseillée (option Tle)</v>
      </c>
      <c r="G508" s="41" t="s">
        <v>855</v>
      </c>
      <c r="H508" s="44"/>
      <c r="I508" s="44" t="str">
        <f>I507</f>
        <v>SVT+* | SVT+SES | SVT+HGGSP | SVT+Maths</v>
      </c>
      <c r="J508" s="44"/>
      <c r="K508" t="s">
        <v>19</v>
      </c>
    </row>
    <row r="509" spans="1:12" ht="22.05" customHeight="1" x14ac:dyDescent="0.3">
      <c r="B509" s="36" t="s">
        <v>238</v>
      </c>
      <c r="C509" s="77" t="s">
        <v>17</v>
      </c>
      <c r="D509" s="38"/>
      <c r="E509" s="39" t="str">
        <f>E$499</f>
        <v>SVT + SES ou SVT + HGGSP ou SVT + Maths</v>
      </c>
      <c r="F509" s="40" t="str">
        <f>F$499</f>
        <v>DGEMC conseillée (option Tle)</v>
      </c>
      <c r="G509" s="41" t="s">
        <v>856</v>
      </c>
      <c r="H509" s="44"/>
      <c r="I509" s="44" t="str">
        <f>I$499</f>
        <v>SVT+* | SVT+SES | SVT+HGGSP | SVT+Maths</v>
      </c>
      <c r="J509" s="44"/>
      <c r="K509" t="s">
        <v>71</v>
      </c>
    </row>
    <row r="510" spans="1:12" ht="22.05" customHeight="1" x14ac:dyDescent="0.3">
      <c r="B510" s="36" t="s">
        <v>857</v>
      </c>
      <c r="C510" s="90" t="s">
        <v>17</v>
      </c>
      <c r="D510" s="38"/>
      <c r="E510" s="39" t="s">
        <v>858</v>
      </c>
      <c r="F510" s="40" t="s">
        <v>859</v>
      </c>
      <c r="G510" s="41" t="s">
        <v>860</v>
      </c>
      <c r="H510" s="44" t="s">
        <v>861</v>
      </c>
      <c r="I510" s="44" t="s">
        <v>15</v>
      </c>
      <c r="J510" s="44"/>
      <c r="K510" t="s">
        <v>19</v>
      </c>
    </row>
    <row r="511" spans="1:12" s="154" customFormat="1" ht="22.05" customHeight="1" x14ac:dyDescent="0.3">
      <c r="A511"/>
      <c r="B511" s="88" t="s">
        <v>1702</v>
      </c>
      <c r="C511" s="92" t="s">
        <v>17</v>
      </c>
      <c r="D511" s="89"/>
      <c r="E511" s="39" t="str">
        <f>E$499</f>
        <v>SVT + SES ou SVT + HGGSP ou SVT + Maths</v>
      </c>
      <c r="F511" s="40" t="str">
        <f>F$499</f>
        <v>DGEMC conseillée (option Tle)</v>
      </c>
      <c r="G511" s="41" t="s">
        <v>1703</v>
      </c>
      <c r="H511" s="44" t="s">
        <v>1704</v>
      </c>
      <c r="I511" s="44" t="str">
        <f>I$499</f>
        <v>SVT+* | SVT+SES | SVT+HGGSP | SVT+Maths</v>
      </c>
      <c r="J511" s="44"/>
      <c r="K511" t="s">
        <v>19</v>
      </c>
      <c r="L511"/>
    </row>
    <row r="512" spans="1:12" s="52" customFormat="1" ht="22.05" customHeight="1" x14ac:dyDescent="0.3"/>
    <row r="513" spans="2:12" s="52" customFormat="1" ht="22.05" customHeight="1" thickBot="1" x14ac:dyDescent="0.35">
      <c r="B513" s="33" t="s">
        <v>946</v>
      </c>
      <c r="C513" s="32"/>
      <c r="D513" s="32"/>
      <c r="E513" s="34" t="s">
        <v>947</v>
      </c>
      <c r="F513" s="35"/>
      <c r="G513" s="32"/>
      <c r="H513" s="43" t="s">
        <v>948</v>
      </c>
      <c r="I513" s="43" t="s">
        <v>822</v>
      </c>
      <c r="J513" s="43"/>
    </row>
    <row r="514" spans="2:12" ht="6" customHeight="1" x14ac:dyDescent="0.3">
      <c r="B514" s="36" t="s">
        <v>949</v>
      </c>
      <c r="C514" s="77" t="s">
        <v>17</v>
      </c>
      <c r="D514" s="38"/>
      <c r="E514" s="39" t="s">
        <v>947</v>
      </c>
      <c r="F514" s="40"/>
      <c r="G514" s="41" t="s">
        <v>950</v>
      </c>
      <c r="H514" s="44"/>
      <c r="I514" s="44" t="s">
        <v>822</v>
      </c>
      <c r="J514" s="44"/>
      <c r="K514" t="s">
        <v>23</v>
      </c>
    </row>
    <row r="515" spans="2:12" ht="25.95" customHeight="1" x14ac:dyDescent="0.3">
      <c r="B515" s="36" t="s">
        <v>951</v>
      </c>
      <c r="C515" s="37" t="s">
        <v>17</v>
      </c>
      <c r="D515" s="38"/>
      <c r="E515" s="39" t="s">
        <v>947</v>
      </c>
      <c r="F515" s="40"/>
      <c r="G515" s="41" t="s">
        <v>952</v>
      </c>
      <c r="H515" s="44"/>
      <c r="I515" s="44" t="s">
        <v>822</v>
      </c>
      <c r="J515" s="44"/>
      <c r="K515" t="s">
        <v>23</v>
      </c>
    </row>
    <row r="516" spans="2:12" ht="22.05" customHeight="1" x14ac:dyDescent="0.3">
      <c r="B516" s="36" t="s">
        <v>829</v>
      </c>
      <c r="C516" s="37" t="s">
        <v>17</v>
      </c>
      <c r="D516" s="38"/>
      <c r="E516" s="39" t="s">
        <v>947</v>
      </c>
      <c r="F516" s="40"/>
      <c r="G516" s="41" t="s">
        <v>830</v>
      </c>
      <c r="H516" s="44"/>
      <c r="I516" s="44" t="s">
        <v>822</v>
      </c>
      <c r="J516" s="44"/>
      <c r="K516" t="s">
        <v>19</v>
      </c>
    </row>
    <row r="517" spans="2:12" ht="22.05" customHeight="1" x14ac:dyDescent="0.3">
      <c r="B517" s="36" t="s">
        <v>953</v>
      </c>
      <c r="C517" s="37" t="s">
        <v>17</v>
      </c>
      <c r="D517" s="38"/>
      <c r="E517" s="39" t="s">
        <v>947</v>
      </c>
      <c r="F517" s="40"/>
      <c r="G517" s="41" t="s">
        <v>954</v>
      </c>
      <c r="H517" s="44"/>
      <c r="I517" s="44" t="s">
        <v>822</v>
      </c>
      <c r="J517" s="44"/>
      <c r="K517" t="s">
        <v>19</v>
      </c>
    </row>
    <row r="518" spans="2:12" s="52" customFormat="1" ht="22.05" customHeight="1" x14ac:dyDescent="0.3">
      <c r="B518" s="36" t="s">
        <v>677</v>
      </c>
      <c r="C518" s="37" t="s">
        <v>17</v>
      </c>
      <c r="D518" s="38"/>
      <c r="E518" s="39" t="s">
        <v>947</v>
      </c>
      <c r="F518" s="40"/>
      <c r="G518" s="41" t="s">
        <v>678</v>
      </c>
      <c r="H518" s="44"/>
      <c r="I518" s="44" t="s">
        <v>822</v>
      </c>
      <c r="J518" s="44"/>
      <c r="K518" t="s">
        <v>19</v>
      </c>
    </row>
    <row r="519" spans="2:12" s="52" customFormat="1" ht="22.05" customHeight="1" x14ac:dyDescent="0.3">
      <c r="B519" s="36" t="s">
        <v>827</v>
      </c>
      <c r="C519" s="37" t="s">
        <v>17</v>
      </c>
      <c r="D519" s="38"/>
      <c r="E519" s="39" t="s">
        <v>947</v>
      </c>
      <c r="F519" s="40"/>
      <c r="G519" s="41" t="s">
        <v>828</v>
      </c>
      <c r="H519" s="44"/>
      <c r="I519" s="44" t="s">
        <v>822</v>
      </c>
      <c r="J519" s="44"/>
      <c r="K519" t="s">
        <v>23</v>
      </c>
    </row>
    <row r="520" spans="2:12" ht="6" customHeight="1" x14ac:dyDescent="0.3">
      <c r="B520" s="36" t="s">
        <v>955</v>
      </c>
      <c r="C520" s="77" t="s">
        <v>17</v>
      </c>
      <c r="D520" s="38"/>
      <c r="E520" s="39" t="s">
        <v>947</v>
      </c>
      <c r="F520" s="40"/>
      <c r="G520" s="41" t="s">
        <v>956</v>
      </c>
      <c r="H520" s="44"/>
      <c r="I520" s="44" t="s">
        <v>822</v>
      </c>
      <c r="J520" s="44"/>
      <c r="K520" t="s">
        <v>19</v>
      </c>
    </row>
    <row r="521" spans="2:12" ht="25.95" customHeight="1" x14ac:dyDescent="0.3">
      <c r="B521" s="36" t="s">
        <v>957</v>
      </c>
      <c r="C521" s="77" t="s">
        <v>17</v>
      </c>
      <c r="D521" s="38"/>
      <c r="E521" s="39" t="s">
        <v>99</v>
      </c>
      <c r="F521" s="40"/>
      <c r="G521" s="41" t="s">
        <v>958</v>
      </c>
      <c r="H521" s="44"/>
      <c r="I521" s="44" t="s">
        <v>101</v>
      </c>
      <c r="J521" s="44"/>
      <c r="K521" s="87" t="s">
        <v>38</v>
      </c>
      <c r="L521" s="87"/>
    </row>
    <row r="522" spans="2:12" ht="22.05" customHeight="1" x14ac:dyDescent="0.3"/>
    <row r="523" spans="2:12" ht="22.05" customHeight="1" thickBot="1" x14ac:dyDescent="0.35">
      <c r="B523" s="33" t="s">
        <v>959</v>
      </c>
      <c r="C523" s="32"/>
      <c r="D523" s="32"/>
      <c r="E523" s="34" t="s">
        <v>960</v>
      </c>
      <c r="F523" s="35"/>
      <c r="G523" s="32"/>
      <c r="H523" s="43" t="s">
        <v>961</v>
      </c>
      <c r="I523" s="43" t="s">
        <v>962</v>
      </c>
      <c r="J523" s="43"/>
    </row>
    <row r="524" spans="2:12" ht="22.05" customHeight="1" x14ac:dyDescent="0.3">
      <c r="B524" s="36" t="s">
        <v>963</v>
      </c>
      <c r="C524" s="37" t="s">
        <v>17</v>
      </c>
      <c r="D524" s="38"/>
      <c r="E524" s="39" t="s">
        <v>960</v>
      </c>
      <c r="F524" s="40"/>
      <c r="G524" s="41" t="s">
        <v>964</v>
      </c>
      <c r="H524" s="44"/>
      <c r="I524" s="44" t="s">
        <v>962</v>
      </c>
      <c r="J524" s="44"/>
      <c r="K524" t="s">
        <v>19</v>
      </c>
    </row>
    <row r="525" spans="2:12" ht="22.05" customHeight="1" x14ac:dyDescent="0.3">
      <c r="B525" s="36" t="s">
        <v>965</v>
      </c>
      <c r="C525" s="37" t="s">
        <v>17</v>
      </c>
      <c r="D525" s="38"/>
      <c r="E525" s="39" t="s">
        <v>960</v>
      </c>
      <c r="F525" s="40"/>
      <c r="G525" s="41" t="s">
        <v>966</v>
      </c>
      <c r="H525" s="44"/>
      <c r="I525" s="44" t="s">
        <v>962</v>
      </c>
      <c r="J525" s="44"/>
      <c r="K525" t="s">
        <v>71</v>
      </c>
    </row>
    <row r="526" spans="2:12" ht="22.05" customHeight="1" x14ac:dyDescent="0.3">
      <c r="B526" s="36" t="s">
        <v>551</v>
      </c>
      <c r="C526" s="77" t="s">
        <v>17</v>
      </c>
      <c r="D526" s="84"/>
      <c r="E526" s="39" t="s">
        <v>967</v>
      </c>
      <c r="F526" s="40" t="s">
        <v>859</v>
      </c>
      <c r="G526" s="41" t="s">
        <v>968</v>
      </c>
      <c r="H526" s="44" t="s">
        <v>969</v>
      </c>
      <c r="I526" s="44" t="s">
        <v>251</v>
      </c>
      <c r="J526" s="44"/>
      <c r="K526" t="s">
        <v>71</v>
      </c>
    </row>
    <row r="527" spans="2:12" ht="22.05" customHeight="1" x14ac:dyDescent="0.3">
      <c r="B527" s="36" t="s">
        <v>970</v>
      </c>
      <c r="C527" s="77" t="s">
        <v>17</v>
      </c>
      <c r="D527" s="70" t="s">
        <v>17</v>
      </c>
      <c r="E527" s="39" t="s">
        <v>971</v>
      </c>
      <c r="F527" s="40"/>
      <c r="G527" s="41" t="s">
        <v>972</v>
      </c>
      <c r="H527" s="44" t="s">
        <v>973</v>
      </c>
      <c r="I527" s="44" t="s">
        <v>193</v>
      </c>
      <c r="J527" s="44"/>
      <c r="K527" t="s">
        <v>71</v>
      </c>
    </row>
    <row r="528" spans="2:12" ht="22.05" customHeight="1" x14ac:dyDescent="0.3">
      <c r="B528" s="36" t="s">
        <v>974</v>
      </c>
      <c r="C528" s="77" t="s">
        <v>17</v>
      </c>
      <c r="D528" s="84"/>
      <c r="E528" s="39" t="s">
        <v>960</v>
      </c>
      <c r="F528" s="40"/>
      <c r="G528" s="41" t="s">
        <v>975</v>
      </c>
      <c r="H528" s="44" t="s">
        <v>976</v>
      </c>
      <c r="I528" s="44" t="s">
        <v>962</v>
      </c>
      <c r="J528" s="44"/>
      <c r="K528" t="s">
        <v>71</v>
      </c>
    </row>
    <row r="529" spans="1:12" ht="22.05" customHeight="1" x14ac:dyDescent="0.3">
      <c r="B529" s="36" t="s">
        <v>977</v>
      </c>
      <c r="C529" s="77" t="s">
        <v>17</v>
      </c>
      <c r="D529" s="84"/>
      <c r="E529" s="39" t="s">
        <v>960</v>
      </c>
      <c r="F529" s="40"/>
      <c r="G529" s="41" t="s">
        <v>978</v>
      </c>
      <c r="H529" s="44" t="s">
        <v>979</v>
      </c>
      <c r="I529" s="44" t="s">
        <v>962</v>
      </c>
      <c r="J529" s="44"/>
      <c r="K529" t="s">
        <v>71</v>
      </c>
    </row>
    <row r="530" spans="1:12" ht="22.05" customHeight="1" x14ac:dyDescent="0.3">
      <c r="B530" s="36" t="s">
        <v>980</v>
      </c>
      <c r="C530" s="77" t="s">
        <v>17</v>
      </c>
      <c r="D530" s="84"/>
      <c r="E530" s="39" t="s">
        <v>971</v>
      </c>
      <c r="F530" s="40"/>
      <c r="G530" s="41" t="s">
        <v>981</v>
      </c>
      <c r="H530" s="44" t="s">
        <v>982</v>
      </c>
      <c r="I530" s="44" t="s">
        <v>193</v>
      </c>
      <c r="J530" s="44"/>
      <c r="K530" t="s">
        <v>71</v>
      </c>
    </row>
    <row r="531" spans="1:12" ht="22.05" customHeight="1" x14ac:dyDescent="0.3">
      <c r="B531" s="36" t="s">
        <v>983</v>
      </c>
      <c r="C531" s="90" t="s">
        <v>17</v>
      </c>
      <c r="D531" s="84"/>
      <c r="E531" s="39" t="s">
        <v>971</v>
      </c>
      <c r="F531" s="40"/>
      <c r="G531" s="41" t="s">
        <v>984</v>
      </c>
      <c r="H531" s="44" t="s">
        <v>985</v>
      </c>
      <c r="I531" s="44" t="s">
        <v>193</v>
      </c>
      <c r="J531" s="44"/>
      <c r="K531" t="s">
        <v>71</v>
      </c>
    </row>
    <row r="532" spans="1:12" s="52" customFormat="1" ht="22.05" customHeight="1" x14ac:dyDescent="0.3">
      <c r="A532"/>
      <c r="B532" s="88" t="s">
        <v>1519</v>
      </c>
      <c r="C532" s="94" t="s">
        <v>17</v>
      </c>
      <c r="D532" s="133"/>
      <c r="E532" s="39" t="s">
        <v>971</v>
      </c>
      <c r="F532" s="40"/>
      <c r="G532" s="41" t="s">
        <v>1520</v>
      </c>
      <c r="H532" s="44" t="s">
        <v>1521</v>
      </c>
      <c r="I532" s="44" t="s">
        <v>193</v>
      </c>
      <c r="J532" s="44"/>
      <c r="K532" s="97" t="s">
        <v>71</v>
      </c>
      <c r="L532"/>
    </row>
    <row r="533" spans="1:12" s="52" customFormat="1" ht="22.05" customHeight="1" x14ac:dyDescent="0.3">
      <c r="A533"/>
      <c r="B533" s="88" t="s">
        <v>1542</v>
      </c>
      <c r="C533" s="94" t="s">
        <v>17</v>
      </c>
      <c r="D533" s="133"/>
      <c r="E533" s="39" t="s">
        <v>13</v>
      </c>
      <c r="F533" s="40"/>
      <c r="G533" s="41" t="s">
        <v>1543</v>
      </c>
      <c r="H533" s="44" t="s">
        <v>1544</v>
      </c>
      <c r="I533" s="44" t="s">
        <v>15</v>
      </c>
      <c r="J533" s="44"/>
      <c r="K533" s="97" t="s">
        <v>71</v>
      </c>
      <c r="L533"/>
    </row>
    <row r="534" spans="1:12" s="52" customFormat="1" ht="22.05" customHeight="1" x14ac:dyDescent="0.3">
      <c r="B534" s="88" t="s">
        <v>1617</v>
      </c>
      <c r="C534" s="161" t="s">
        <v>17</v>
      </c>
      <c r="D534" s="133"/>
      <c r="E534" s="39" t="str">
        <f>E$523</f>
        <v>SVT + Physique-Chimie, SVT + Maths ou SVT + HGGSP</v>
      </c>
      <c r="F534" s="40"/>
      <c r="G534" s="41" t="s">
        <v>1618</v>
      </c>
      <c r="H534" s="44" t="s">
        <v>1619</v>
      </c>
      <c r="I534" s="44" t="str">
        <f>I$523</f>
        <v>SVT+PC | SVT+Maths | SVT+HGGSP</v>
      </c>
      <c r="J534" s="44"/>
      <c r="K534" s="97" t="s">
        <v>71</v>
      </c>
      <c r="L534"/>
    </row>
    <row r="535" spans="1:12" ht="22.05" customHeight="1" x14ac:dyDescent="0.3"/>
    <row r="536" spans="1:12" ht="34.799999999999997" customHeight="1" thickBot="1" x14ac:dyDescent="0.35">
      <c r="B536" s="33" t="s">
        <v>1038</v>
      </c>
      <c r="C536" s="32"/>
      <c r="D536" s="32"/>
      <c r="E536" s="34" t="s">
        <v>419</v>
      </c>
      <c r="F536" s="35"/>
      <c r="G536" s="32"/>
      <c r="H536" s="43" t="s">
        <v>1039</v>
      </c>
      <c r="I536" s="43" t="s">
        <v>421</v>
      </c>
      <c r="J536" s="43"/>
    </row>
    <row r="537" spans="1:12" s="52" customFormat="1" ht="34.200000000000003" customHeight="1" x14ac:dyDescent="0.3">
      <c r="B537" s="36" t="s">
        <v>1040</v>
      </c>
      <c r="C537" s="60" t="s">
        <v>17</v>
      </c>
      <c r="D537" s="70" t="s">
        <v>17</v>
      </c>
      <c r="E537" s="39" t="str">
        <f>E536</f>
        <v>SVT + Physique-Chimie ou SVT + HGGSP</v>
      </c>
      <c r="F537" s="40"/>
      <c r="G537" s="41" t="s">
        <v>1041</v>
      </c>
      <c r="H537" s="44"/>
      <c r="I537" s="44" t="str">
        <f>I536</f>
        <v>SVT+PC | SVT+HGGSP</v>
      </c>
      <c r="J537" s="44"/>
      <c r="K537" t="s">
        <v>19</v>
      </c>
    </row>
    <row r="538" spans="1:12" s="52" customFormat="1" ht="34.200000000000003" customHeight="1" x14ac:dyDescent="0.3">
      <c r="B538" s="55" t="s">
        <v>160</v>
      </c>
      <c r="C538" s="61" t="s">
        <v>17</v>
      </c>
      <c r="D538" s="56"/>
      <c r="E538" s="57" t="str">
        <f>E536</f>
        <v>SVT + Physique-Chimie ou SVT + HGGSP</v>
      </c>
      <c r="F538" s="58"/>
      <c r="G538" s="59" t="s">
        <v>161</v>
      </c>
      <c r="H538" s="53"/>
      <c r="I538" s="53" t="str">
        <f>I536</f>
        <v>SVT+PC | SVT+HGGSP</v>
      </c>
      <c r="J538" s="53"/>
      <c r="K538" t="s">
        <v>19</v>
      </c>
    </row>
    <row r="539" spans="1:12" s="52" customFormat="1" ht="34.200000000000003" customHeight="1" x14ac:dyDescent="0.3">
      <c r="B539" s="55" t="s">
        <v>812</v>
      </c>
      <c r="C539" s="61" t="s">
        <v>17</v>
      </c>
      <c r="D539" s="56"/>
      <c r="E539" s="57" t="str">
        <f>E536</f>
        <v>SVT + Physique-Chimie ou SVT + HGGSP</v>
      </c>
      <c r="F539" s="58"/>
      <c r="G539" s="59" t="s">
        <v>813</v>
      </c>
      <c r="H539" s="53"/>
      <c r="I539" s="53" t="str">
        <f>I536</f>
        <v>SVT+PC | SVT+HGGSP</v>
      </c>
      <c r="J539" s="53"/>
      <c r="K539" t="s">
        <v>19</v>
      </c>
    </row>
    <row r="540" spans="1:12" s="52" customFormat="1" ht="34.200000000000003" customHeight="1" x14ac:dyDescent="0.3">
      <c r="B540" s="55" t="s">
        <v>1042</v>
      </c>
      <c r="C540" s="61" t="s">
        <v>17</v>
      </c>
      <c r="D540" s="56"/>
      <c r="E540" s="57" t="str">
        <f>E536</f>
        <v>SVT + Physique-Chimie ou SVT + HGGSP</v>
      </c>
      <c r="F540" s="58"/>
      <c r="G540" s="59" t="s">
        <v>1043</v>
      </c>
      <c r="H540" s="53"/>
      <c r="I540" s="53" t="str">
        <f>I536</f>
        <v>SVT+PC | SVT+HGGSP</v>
      </c>
      <c r="J540" s="53"/>
      <c r="K540" s="87" t="s">
        <v>23</v>
      </c>
      <c r="L540" s="87"/>
    </row>
    <row r="541" spans="1:12" s="52" customFormat="1" ht="34.200000000000003" customHeight="1" x14ac:dyDescent="0.3">
      <c r="B541" s="55" t="s">
        <v>1044</v>
      </c>
      <c r="C541" s="61" t="s">
        <v>17</v>
      </c>
      <c r="D541" s="56"/>
      <c r="E541" s="57" t="str">
        <f>E536</f>
        <v>SVT + Physique-Chimie ou SVT + HGGSP</v>
      </c>
      <c r="F541" s="58"/>
      <c r="G541" s="59" t="s">
        <v>1045</v>
      </c>
      <c r="H541" s="53"/>
      <c r="I541" s="53" t="str">
        <f>I536</f>
        <v>SVT+PC | SVT+HGGSP</v>
      </c>
      <c r="J541" s="53"/>
      <c r="K541" t="s">
        <v>23</v>
      </c>
    </row>
    <row r="542" spans="1:12" s="52" customFormat="1" ht="34.200000000000003" customHeight="1" x14ac:dyDescent="0.3">
      <c r="B542" s="55" t="s">
        <v>1046</v>
      </c>
      <c r="C542" s="61" t="s">
        <v>17</v>
      </c>
      <c r="D542" s="56"/>
      <c r="E542" s="57" t="str">
        <f>E536</f>
        <v>SVT + Physique-Chimie ou SVT + HGGSP</v>
      </c>
      <c r="F542" s="58"/>
      <c r="G542" s="59" t="s">
        <v>1047</v>
      </c>
      <c r="H542" s="53"/>
      <c r="I542" s="53" t="str">
        <f>I536</f>
        <v>SVT+PC | SVT+HGGSP</v>
      </c>
      <c r="J542" s="53"/>
      <c r="K542" t="s">
        <v>19</v>
      </c>
    </row>
    <row r="543" spans="1:12" s="52" customFormat="1" ht="45.6" customHeight="1" x14ac:dyDescent="0.3">
      <c r="B543" s="36" t="s">
        <v>726</v>
      </c>
      <c r="C543" s="54" t="s">
        <v>17</v>
      </c>
      <c r="D543" s="38"/>
      <c r="E543" s="39" t="str">
        <f>E542</f>
        <v>SVT + Physique-Chimie ou SVT + HGGSP</v>
      </c>
      <c r="F543" s="40"/>
      <c r="G543" s="41" t="s">
        <v>1048</v>
      </c>
      <c r="H543" s="44" t="s">
        <v>1049</v>
      </c>
      <c r="I543" s="44" t="str">
        <f>I542</f>
        <v>SVT+PC | SVT+HGGSP</v>
      </c>
      <c r="J543" s="44"/>
      <c r="K543" t="s">
        <v>19</v>
      </c>
    </row>
    <row r="544" spans="1:12" s="52" customFormat="1" ht="34.200000000000003" customHeight="1" x14ac:dyDescent="0.3">
      <c r="B544" s="36" t="s">
        <v>414</v>
      </c>
      <c r="C544" s="54" t="s">
        <v>17</v>
      </c>
      <c r="D544" s="38"/>
      <c r="E544" s="39" t="str">
        <f>E536</f>
        <v>SVT + Physique-Chimie ou SVT + HGGSP</v>
      </c>
      <c r="F544" s="40"/>
      <c r="G544" s="41" t="s">
        <v>415</v>
      </c>
      <c r="H544" s="44"/>
      <c r="I544" s="44" t="str">
        <f>I536</f>
        <v>SVT+PC | SVT+HGGSP</v>
      </c>
      <c r="J544" s="44"/>
      <c r="K544" t="s">
        <v>19</v>
      </c>
    </row>
    <row r="545" spans="2:11" s="52" customFormat="1" ht="45.6" customHeight="1" x14ac:dyDescent="0.3">
      <c r="B545" s="36" t="s">
        <v>416</v>
      </c>
      <c r="C545" s="54" t="s">
        <v>17</v>
      </c>
      <c r="D545" s="38"/>
      <c r="E545" s="39" t="str">
        <f>E536</f>
        <v>SVT + Physique-Chimie ou SVT + HGGSP</v>
      </c>
      <c r="F545" s="40"/>
      <c r="G545" s="41" t="s">
        <v>417</v>
      </c>
      <c r="H545" s="44"/>
      <c r="I545" s="44" t="str">
        <f>I536</f>
        <v>SVT+PC | SVT+HGGSP</v>
      </c>
      <c r="J545" s="44"/>
      <c r="K545" t="s">
        <v>19</v>
      </c>
    </row>
    <row r="546" spans="2:11" s="52" customFormat="1" ht="14.4" customHeight="1" x14ac:dyDescent="0.3"/>
    <row r="547" spans="2:11" s="52" customFormat="1" ht="34.799999999999997" customHeight="1" thickBot="1" x14ac:dyDescent="0.35">
      <c r="B547" s="33" t="s">
        <v>1050</v>
      </c>
      <c r="C547" s="32"/>
      <c r="D547" s="32"/>
      <c r="E547" s="34" t="s">
        <v>13</v>
      </c>
      <c r="F547" s="35" t="s">
        <v>14</v>
      </c>
      <c r="G547" s="32"/>
      <c r="H547" s="43" t="s">
        <v>1051</v>
      </c>
      <c r="I547" s="43" t="s">
        <v>15</v>
      </c>
      <c r="J547" s="43"/>
    </row>
    <row r="548" spans="2:11" s="52" customFormat="1" ht="34.200000000000003" customHeight="1" x14ac:dyDescent="0.3">
      <c r="B548" s="36" t="s">
        <v>318</v>
      </c>
      <c r="C548" s="54" t="s">
        <v>17</v>
      </c>
      <c r="D548" s="38"/>
      <c r="E548" s="39" t="str">
        <f t="shared" ref="E548:E560" si="28">E547</f>
        <v>SVT + Physique-Chimie ou SVT + Maths</v>
      </c>
      <c r="F548" s="40"/>
      <c r="G548" s="41" t="s">
        <v>319</v>
      </c>
      <c r="H548" s="44"/>
      <c r="I548" s="44" t="str">
        <f t="shared" ref="I548:I560" si="29">I547</f>
        <v>SVT+PC | SVT+Maths</v>
      </c>
      <c r="J548" s="44"/>
      <c r="K548" t="s">
        <v>19</v>
      </c>
    </row>
    <row r="549" spans="2:11" s="52" customFormat="1" ht="6" customHeight="1" x14ac:dyDescent="0.3">
      <c r="B549" s="36" t="s">
        <v>320</v>
      </c>
      <c r="C549" s="68" t="s">
        <v>17</v>
      </c>
      <c r="D549" s="38"/>
      <c r="E549" s="39" t="str">
        <f t="shared" si="28"/>
        <v>SVT + Physique-Chimie ou SVT + Maths</v>
      </c>
      <c r="F549" s="40"/>
      <c r="G549" s="41" t="s">
        <v>321</v>
      </c>
      <c r="H549" s="44"/>
      <c r="I549" s="44" t="str">
        <f t="shared" si="29"/>
        <v>SVT+PC | SVT+Maths</v>
      </c>
      <c r="J549" s="44"/>
      <c r="K549" t="s">
        <v>19</v>
      </c>
    </row>
    <row r="550" spans="2:11" ht="25.95" customHeight="1" x14ac:dyDescent="0.3">
      <c r="B550" s="36" t="s">
        <v>322</v>
      </c>
      <c r="C550" s="68" t="s">
        <v>17</v>
      </c>
      <c r="D550" s="38"/>
      <c r="E550" s="39" t="str">
        <f t="shared" si="28"/>
        <v>SVT + Physique-Chimie ou SVT + Maths</v>
      </c>
      <c r="F550" s="40"/>
      <c r="G550" s="41" t="s">
        <v>323</v>
      </c>
      <c r="H550" s="44"/>
      <c r="I550" s="44" t="str">
        <f t="shared" si="29"/>
        <v>SVT+PC | SVT+Maths</v>
      </c>
      <c r="J550" s="44"/>
      <c r="K550" t="s">
        <v>19</v>
      </c>
    </row>
    <row r="551" spans="2:11" ht="34.200000000000003" customHeight="1" x14ac:dyDescent="0.3">
      <c r="B551" s="36" t="s">
        <v>324</v>
      </c>
      <c r="C551" s="68" t="s">
        <v>17</v>
      </c>
      <c r="D551" s="38"/>
      <c r="E551" s="39" t="str">
        <f t="shared" si="28"/>
        <v>SVT + Physique-Chimie ou SVT + Maths</v>
      </c>
      <c r="F551" s="40"/>
      <c r="G551" s="41" t="s">
        <v>325</v>
      </c>
      <c r="H551" s="44"/>
      <c r="I551" s="44" t="str">
        <f t="shared" si="29"/>
        <v>SVT+PC | SVT+Maths</v>
      </c>
      <c r="J551" s="44"/>
      <c r="K551" t="s">
        <v>19</v>
      </c>
    </row>
    <row r="552" spans="2:11" s="52" customFormat="1" ht="34.200000000000003" customHeight="1" x14ac:dyDescent="0.3">
      <c r="B552" s="36" t="s">
        <v>326</v>
      </c>
      <c r="C552" s="68" t="s">
        <v>17</v>
      </c>
      <c r="D552" s="38"/>
      <c r="E552" s="39" t="str">
        <f t="shared" si="28"/>
        <v>SVT + Physique-Chimie ou SVT + Maths</v>
      </c>
      <c r="F552" s="40"/>
      <c r="G552" s="41" t="s">
        <v>327</v>
      </c>
      <c r="H552" s="44"/>
      <c r="I552" s="44" t="str">
        <f t="shared" si="29"/>
        <v>SVT+PC | SVT+Maths</v>
      </c>
      <c r="J552" s="44"/>
      <c r="K552" t="s">
        <v>19</v>
      </c>
    </row>
    <row r="553" spans="2:11" s="52" customFormat="1" ht="34.200000000000003" customHeight="1" x14ac:dyDescent="0.3">
      <c r="B553" s="36" t="s">
        <v>328</v>
      </c>
      <c r="C553" s="68" t="s">
        <v>17</v>
      </c>
      <c r="D553" s="38"/>
      <c r="E553" s="39" t="str">
        <f t="shared" si="28"/>
        <v>SVT + Physique-Chimie ou SVT + Maths</v>
      </c>
      <c r="F553" s="40"/>
      <c r="G553" s="41" t="s">
        <v>329</v>
      </c>
      <c r="H553" s="44"/>
      <c r="I553" s="44" t="str">
        <f t="shared" si="29"/>
        <v>SVT+PC | SVT+Maths</v>
      </c>
      <c r="J553" s="44"/>
      <c r="K553" t="s">
        <v>19</v>
      </c>
    </row>
    <row r="554" spans="2:11" s="52" customFormat="1" ht="34.200000000000003" customHeight="1" x14ac:dyDescent="0.3">
      <c r="B554" s="36" t="s">
        <v>279</v>
      </c>
      <c r="C554" s="68" t="s">
        <v>17</v>
      </c>
      <c r="D554" s="38"/>
      <c r="E554" s="39" t="str">
        <f t="shared" si="28"/>
        <v>SVT + Physique-Chimie ou SVT + Maths</v>
      </c>
      <c r="F554" s="40"/>
      <c r="G554" s="41" t="s">
        <v>280</v>
      </c>
      <c r="H554" s="44"/>
      <c r="I554" s="44" t="str">
        <f t="shared" si="29"/>
        <v>SVT+PC | SVT+Maths</v>
      </c>
      <c r="J554" s="44"/>
      <c r="K554" t="s">
        <v>19</v>
      </c>
    </row>
    <row r="555" spans="2:11" s="52" customFormat="1" ht="6" customHeight="1" x14ac:dyDescent="0.3">
      <c r="B555" s="36" t="s">
        <v>330</v>
      </c>
      <c r="C555" s="68" t="s">
        <v>17</v>
      </c>
      <c r="D555" s="38"/>
      <c r="E555" s="39" t="str">
        <f t="shared" si="28"/>
        <v>SVT + Physique-Chimie ou SVT + Maths</v>
      </c>
      <c r="F555" s="40"/>
      <c r="G555" s="41" t="s">
        <v>331</v>
      </c>
      <c r="H555" s="44"/>
      <c r="I555" s="44" t="str">
        <f t="shared" si="29"/>
        <v>SVT+PC | SVT+Maths</v>
      </c>
      <c r="J555" s="44"/>
      <c r="K555" t="s">
        <v>19</v>
      </c>
    </row>
    <row r="556" spans="2:11" ht="25.95" customHeight="1" x14ac:dyDescent="0.3">
      <c r="B556" s="36" t="s">
        <v>332</v>
      </c>
      <c r="C556" s="68" t="s">
        <v>17</v>
      </c>
      <c r="D556" s="38"/>
      <c r="E556" s="39" t="str">
        <f t="shared" si="28"/>
        <v>SVT + Physique-Chimie ou SVT + Maths</v>
      </c>
      <c r="F556" s="40"/>
      <c r="G556" s="41" t="s">
        <v>333</v>
      </c>
      <c r="H556" s="44"/>
      <c r="I556" s="44" t="str">
        <f t="shared" si="29"/>
        <v>SVT+PC | SVT+Maths</v>
      </c>
      <c r="J556" s="44"/>
      <c r="K556" t="s">
        <v>19</v>
      </c>
    </row>
    <row r="557" spans="2:11" ht="34.200000000000003" customHeight="1" x14ac:dyDescent="0.3">
      <c r="B557" s="36" t="s">
        <v>334</v>
      </c>
      <c r="C557" s="68" t="s">
        <v>17</v>
      </c>
      <c r="D557" s="38"/>
      <c r="E557" s="39" t="str">
        <f t="shared" si="28"/>
        <v>SVT + Physique-Chimie ou SVT + Maths</v>
      </c>
      <c r="F557" s="40"/>
      <c r="G557" s="41" t="s">
        <v>335</v>
      </c>
      <c r="H557" s="44"/>
      <c r="I557" s="44" t="str">
        <f t="shared" si="29"/>
        <v>SVT+PC | SVT+Maths</v>
      </c>
      <c r="J557" s="44"/>
      <c r="K557" t="s">
        <v>19</v>
      </c>
    </row>
    <row r="558" spans="2:11" s="52" customFormat="1" ht="34.200000000000003" customHeight="1" x14ac:dyDescent="0.3">
      <c r="B558" s="36" t="s">
        <v>336</v>
      </c>
      <c r="C558" s="68" t="s">
        <v>17</v>
      </c>
      <c r="D558" s="38"/>
      <c r="E558" s="39" t="str">
        <f t="shared" si="28"/>
        <v>SVT + Physique-Chimie ou SVT + Maths</v>
      </c>
      <c r="F558" s="40"/>
      <c r="G558" s="41" t="s">
        <v>337</v>
      </c>
      <c r="H558" s="44"/>
      <c r="I558" s="44" t="str">
        <f t="shared" si="29"/>
        <v>SVT+PC | SVT+Maths</v>
      </c>
      <c r="J558" s="44"/>
      <c r="K558" t="s">
        <v>19</v>
      </c>
    </row>
    <row r="559" spans="2:11" s="52" customFormat="1" ht="34.200000000000003" customHeight="1" x14ac:dyDescent="0.3">
      <c r="B559" s="36" t="s">
        <v>338</v>
      </c>
      <c r="C559" s="68" t="s">
        <v>17</v>
      </c>
      <c r="D559" s="38"/>
      <c r="E559" s="39" t="str">
        <f t="shared" si="28"/>
        <v>SVT + Physique-Chimie ou SVT + Maths</v>
      </c>
      <c r="F559" s="40"/>
      <c r="G559" s="41" t="s">
        <v>339</v>
      </c>
      <c r="H559" s="44"/>
      <c r="I559" s="44" t="str">
        <f t="shared" si="29"/>
        <v>SVT+PC | SVT+Maths</v>
      </c>
      <c r="J559" s="44"/>
      <c r="K559" t="s">
        <v>19</v>
      </c>
    </row>
    <row r="560" spans="2:11" s="52" customFormat="1" ht="34.200000000000003" customHeight="1" x14ac:dyDescent="0.3">
      <c r="B560" s="36" t="s">
        <v>340</v>
      </c>
      <c r="C560" s="95" t="s">
        <v>17</v>
      </c>
      <c r="D560" s="38"/>
      <c r="E560" s="39" t="str">
        <f t="shared" si="28"/>
        <v>SVT + Physique-Chimie ou SVT + Maths</v>
      </c>
      <c r="F560" s="40"/>
      <c r="G560" s="41" t="s">
        <v>341</v>
      </c>
      <c r="H560" s="44"/>
      <c r="I560" s="44" t="str">
        <f t="shared" si="29"/>
        <v>SVT+PC | SVT+Maths</v>
      </c>
      <c r="J560" s="44"/>
      <c r="K560" t="s">
        <v>71</v>
      </c>
    </row>
    <row r="561" spans="1:12" s="52" customFormat="1" ht="34.200000000000003" customHeight="1" x14ac:dyDescent="0.3">
      <c r="B561" s="88" t="s">
        <v>1510</v>
      </c>
      <c r="C561" s="94" t="s">
        <v>17</v>
      </c>
      <c r="D561" s="89"/>
      <c r="E561" s="39" t="str">
        <f>E$547</f>
        <v>SVT + Physique-Chimie ou SVT + Maths</v>
      </c>
      <c r="F561" s="40"/>
      <c r="G561" s="41" t="s">
        <v>1511</v>
      </c>
      <c r="H561" s="44" t="s">
        <v>1512</v>
      </c>
      <c r="I561" s="44" t="str">
        <f>I$547</f>
        <v>SVT+PC | SVT+Maths</v>
      </c>
      <c r="J561" s="44"/>
      <c r="K561" s="100" t="s">
        <v>71</v>
      </c>
    </row>
    <row r="562" spans="1:12" s="52" customFormat="1" ht="34.200000000000003" customHeight="1" x14ac:dyDescent="0.3">
      <c r="B562" s="88" t="s">
        <v>1545</v>
      </c>
      <c r="C562" s="92" t="s">
        <v>17</v>
      </c>
      <c r="D562" s="89"/>
      <c r="E562" s="39" t="str">
        <f>E$547</f>
        <v>SVT + Physique-Chimie ou SVT + Maths</v>
      </c>
      <c r="F562" s="40" t="str">
        <f>F$547</f>
        <v>Maths compl. (option Tle) si Maths non conservée</v>
      </c>
      <c r="G562" s="41" t="s">
        <v>1546</v>
      </c>
      <c r="H562" s="44" t="s">
        <v>1547</v>
      </c>
      <c r="I562" s="44" t="str">
        <f>I$547</f>
        <v>SVT+PC | SVT+Maths</v>
      </c>
      <c r="J562" s="44"/>
      <c r="K562" s="100" t="s">
        <v>71</v>
      </c>
    </row>
    <row r="563" spans="1:12" s="52" customFormat="1" ht="14.4" customHeight="1" x14ac:dyDescent="0.3"/>
    <row r="564" spans="1:12" s="52" customFormat="1" ht="34.799999999999997" customHeight="1" thickBot="1" x14ac:dyDescent="0.35">
      <c r="B564" s="33" t="s">
        <v>1052</v>
      </c>
      <c r="C564" s="32"/>
      <c r="D564" s="32"/>
      <c r="E564" s="34" t="s">
        <v>13</v>
      </c>
      <c r="F564" s="35" t="s">
        <v>14</v>
      </c>
      <c r="G564" s="32"/>
      <c r="H564" s="43" t="s">
        <v>1053</v>
      </c>
      <c r="I564" s="43" t="s">
        <v>15</v>
      </c>
      <c r="J564" s="43"/>
    </row>
    <row r="565" spans="1:12" s="52" customFormat="1" ht="34.200000000000003" customHeight="1" x14ac:dyDescent="0.3">
      <c r="B565" s="36" t="s">
        <v>1054</v>
      </c>
      <c r="C565" s="54" t="s">
        <v>17</v>
      </c>
      <c r="D565" s="38"/>
      <c r="E565" s="39" t="str">
        <f>E564</f>
        <v>SVT + Physique-Chimie ou SVT + Maths</v>
      </c>
      <c r="F565" s="40" t="str">
        <f>F564</f>
        <v>Maths compl. (option Tle) si Maths non conservée</v>
      </c>
      <c r="G565" s="41" t="s">
        <v>1055</v>
      </c>
      <c r="H565" s="44"/>
      <c r="I565" s="44" t="str">
        <f>I564</f>
        <v>SVT+PC | SVT+Maths</v>
      </c>
      <c r="J565" s="44"/>
      <c r="K565" t="s">
        <v>19</v>
      </c>
    </row>
    <row r="566" spans="1:12" s="52" customFormat="1" ht="102.6" customHeight="1" x14ac:dyDescent="0.3">
      <c r="B566" s="36" t="s">
        <v>232</v>
      </c>
      <c r="C566" s="60" t="s">
        <v>17</v>
      </c>
      <c r="D566" s="38"/>
      <c r="E566" s="39" t="s">
        <v>40</v>
      </c>
      <c r="F566" s="40" t="str">
        <f>F564</f>
        <v>Maths compl. (option Tle) si Maths non conservée</v>
      </c>
      <c r="G566" s="41" t="s">
        <v>233</v>
      </c>
      <c r="H566" s="44"/>
      <c r="I566" s="44" t="s">
        <v>43</v>
      </c>
      <c r="J566" s="44"/>
      <c r="K566" t="s">
        <v>23</v>
      </c>
    </row>
    <row r="567" spans="1:12" s="52" customFormat="1" ht="6" customHeight="1" x14ac:dyDescent="0.3">
      <c r="B567" s="36" t="s">
        <v>593</v>
      </c>
      <c r="C567" s="62" t="s">
        <v>17</v>
      </c>
      <c r="D567" s="38"/>
      <c r="E567" s="39" t="str">
        <f>E$564</f>
        <v>SVT + Physique-Chimie ou SVT + Maths</v>
      </c>
      <c r="F567" s="40" t="str">
        <f>F$564</f>
        <v>Maths compl. (option Tle) si Maths non conservée</v>
      </c>
      <c r="G567" s="41" t="s">
        <v>594</v>
      </c>
      <c r="H567" s="44"/>
      <c r="I567" s="44" t="str">
        <f>I$564</f>
        <v>SVT+PC | SVT+Maths</v>
      </c>
      <c r="J567" s="44"/>
      <c r="K567" t="s">
        <v>71</v>
      </c>
    </row>
    <row r="568" spans="1:12" ht="25.95" customHeight="1" x14ac:dyDescent="0.3">
      <c r="B568" s="36" t="s">
        <v>1024</v>
      </c>
      <c r="C568" s="90" t="s">
        <v>17</v>
      </c>
      <c r="D568" s="38"/>
      <c r="E568" s="39" t="s">
        <v>986</v>
      </c>
      <c r="F568" s="40" t="str">
        <f>F564</f>
        <v>Maths compl. (option Tle) si Maths non conservée</v>
      </c>
      <c r="G568" s="41" t="s">
        <v>1025</v>
      </c>
      <c r="H568" s="44"/>
      <c r="I568" s="44" t="s">
        <v>962</v>
      </c>
      <c r="J568" s="44"/>
      <c r="K568" t="s">
        <v>23</v>
      </c>
    </row>
    <row r="569" spans="1:12" s="52" customFormat="1" ht="25.95" customHeight="1" x14ac:dyDescent="0.3">
      <c r="A569"/>
      <c r="B569" s="88" t="s">
        <v>1391</v>
      </c>
      <c r="C569" s="92" t="s">
        <v>17</v>
      </c>
      <c r="D569" s="89"/>
      <c r="E569" s="39" t="str">
        <f t="shared" ref="E569:F571" si="30">E$564</f>
        <v>SVT + Physique-Chimie ou SVT + Maths</v>
      </c>
      <c r="F569" s="40" t="str">
        <f t="shared" si="30"/>
        <v>Maths compl. (option Tle) si Maths non conservée</v>
      </c>
      <c r="G569" s="41" t="s">
        <v>1392</v>
      </c>
      <c r="H569" s="44" t="s">
        <v>1393</v>
      </c>
      <c r="I569" s="44" t="str">
        <f>I$564</f>
        <v>SVT+PC | SVT+Maths</v>
      </c>
      <c r="J569" s="44"/>
      <c r="K569" s="100" t="s">
        <v>19</v>
      </c>
      <c r="L569"/>
    </row>
    <row r="570" spans="1:12" s="52" customFormat="1" ht="25.95" customHeight="1" x14ac:dyDescent="0.3">
      <c r="A570"/>
      <c r="B570" s="88" t="s">
        <v>1394</v>
      </c>
      <c r="C570" s="118" t="s">
        <v>17</v>
      </c>
      <c r="D570" s="89"/>
      <c r="E570" s="39" t="str">
        <f t="shared" si="30"/>
        <v>SVT + Physique-Chimie ou SVT + Maths</v>
      </c>
      <c r="F570" s="40" t="str">
        <f t="shared" si="30"/>
        <v>Maths compl. (option Tle) si Maths non conservée</v>
      </c>
      <c r="G570" s="41" t="s">
        <v>1395</v>
      </c>
      <c r="H570" s="44" t="s">
        <v>1396</v>
      </c>
      <c r="I570" s="44" t="str">
        <f>I$564</f>
        <v>SVT+PC | SVT+Maths</v>
      </c>
      <c r="J570" s="44"/>
      <c r="K570" s="100" t="s">
        <v>19</v>
      </c>
      <c r="L570"/>
    </row>
    <row r="571" spans="1:12" s="52" customFormat="1" ht="25.95" customHeight="1" x14ac:dyDescent="0.3">
      <c r="A571"/>
      <c r="B571" s="88" t="s">
        <v>1400</v>
      </c>
      <c r="C571" s="94" t="s">
        <v>17</v>
      </c>
      <c r="D571" s="89"/>
      <c r="E571" s="39" t="str">
        <f t="shared" si="30"/>
        <v>SVT + Physique-Chimie ou SVT + Maths</v>
      </c>
      <c r="F571" s="40" t="str">
        <f t="shared" si="30"/>
        <v>Maths compl. (option Tle) si Maths non conservée</v>
      </c>
      <c r="G571" s="41" t="s">
        <v>1401</v>
      </c>
      <c r="H571" s="44" t="s">
        <v>1402</v>
      </c>
      <c r="I571" s="44" t="str">
        <f>I$564</f>
        <v>SVT+PC | SVT+Maths</v>
      </c>
      <c r="J571" s="44"/>
      <c r="K571" s="100" t="s">
        <v>19</v>
      </c>
      <c r="L571"/>
    </row>
    <row r="572" spans="1:12" s="52" customFormat="1" ht="25.95" customHeight="1" x14ac:dyDescent="0.3">
      <c r="A572"/>
      <c r="B572" s="88" t="s">
        <v>1475</v>
      </c>
      <c r="C572" s="92" t="s">
        <v>17</v>
      </c>
      <c r="D572" s="89"/>
      <c r="E572" s="39" t="str">
        <f>E$564</f>
        <v>SVT + Physique-Chimie ou SVT + Maths</v>
      </c>
      <c r="F572" s="40" t="str">
        <f>F$564</f>
        <v>Maths compl. (option Tle) si Maths non conservée</v>
      </c>
      <c r="G572" s="41" t="s">
        <v>1476</v>
      </c>
      <c r="H572" s="44" t="s">
        <v>1477</v>
      </c>
      <c r="I572" s="44" t="str">
        <f>I$564</f>
        <v>SVT+PC | SVT+Maths</v>
      </c>
      <c r="J572" s="44"/>
      <c r="K572" s="100" t="s">
        <v>19</v>
      </c>
      <c r="L572"/>
    </row>
    <row r="573" spans="1:12" ht="14.4" customHeight="1" x14ac:dyDescent="0.3">
      <c r="B573" s="52"/>
      <c r="C573" s="52"/>
      <c r="D573" s="52"/>
      <c r="E573" s="52"/>
      <c r="F573" s="52"/>
      <c r="G573" s="52"/>
      <c r="H573" s="52"/>
      <c r="I573" s="52"/>
      <c r="J573" s="52"/>
    </row>
    <row r="574" spans="1:12" s="52" customFormat="1" ht="34.799999999999997" customHeight="1" thickBot="1" x14ac:dyDescent="0.35">
      <c r="B574" s="33" t="s">
        <v>1056</v>
      </c>
      <c r="C574" s="66"/>
      <c r="D574" s="32"/>
      <c r="E574" s="34" t="s">
        <v>191</v>
      </c>
      <c r="F574" s="35"/>
      <c r="G574" s="32"/>
      <c r="H574" s="43" t="s">
        <v>1057</v>
      </c>
      <c r="I574" s="43" t="s">
        <v>193</v>
      </c>
      <c r="J574" s="43"/>
    </row>
    <row r="575" spans="1:12" s="52" customFormat="1" ht="34.799999999999997" customHeight="1" x14ac:dyDescent="0.3">
      <c r="B575" s="88" t="s">
        <v>1458</v>
      </c>
      <c r="C575" s="94" t="s">
        <v>17</v>
      </c>
      <c r="D575" s="89"/>
      <c r="E575" s="39" t="str">
        <f>E$574</f>
        <v>SVT + HGGSP ou SVT + Physique-Chimie</v>
      </c>
      <c r="F575" s="40"/>
      <c r="G575" s="41" t="s">
        <v>1459</v>
      </c>
      <c r="H575" s="44" t="s">
        <v>1460</v>
      </c>
      <c r="I575" s="44" t="str">
        <f>I$574</f>
        <v>SVT+HGGSP | SVT+PC</v>
      </c>
      <c r="J575" s="44"/>
      <c r="K575" s="124" t="s">
        <v>19</v>
      </c>
    </row>
    <row r="576" spans="1:12" s="52" customFormat="1" ht="34.799999999999997" customHeight="1" x14ac:dyDescent="0.3">
      <c r="B576" s="88" t="s">
        <v>1495</v>
      </c>
      <c r="C576" s="94" t="s">
        <v>17</v>
      </c>
      <c r="D576" s="89"/>
      <c r="E576" s="39" t="str">
        <f>E$574</f>
        <v>SVT + HGGSP ou SVT + Physique-Chimie</v>
      </c>
      <c r="F576" s="40"/>
      <c r="G576" s="41" t="s">
        <v>1496</v>
      </c>
      <c r="H576" s="44" t="s">
        <v>1497</v>
      </c>
      <c r="I576" s="44" t="str">
        <f>I$574</f>
        <v>SVT+HGGSP | SVT+PC</v>
      </c>
      <c r="J576" s="44"/>
      <c r="K576" s="124" t="s">
        <v>19</v>
      </c>
    </row>
    <row r="577" spans="2:12" s="52" customFormat="1" ht="34.799999999999997" customHeight="1" x14ac:dyDescent="0.3">
      <c r="B577" s="88" t="s">
        <v>1498</v>
      </c>
      <c r="C577" s="92" t="s">
        <v>17</v>
      </c>
      <c r="D577" s="89"/>
      <c r="E577" s="39" t="str">
        <f>E$574</f>
        <v>SVT + HGGSP ou SVT + Physique-Chimie</v>
      </c>
      <c r="F577" s="40"/>
      <c r="G577" s="41" t="s">
        <v>1499</v>
      </c>
      <c r="H577" s="44" t="s">
        <v>1500</v>
      </c>
      <c r="I577" s="44" t="str">
        <f>I$574</f>
        <v>SVT+HGGSP | SVT+PC</v>
      </c>
      <c r="J577" s="44"/>
      <c r="K577" s="124" t="s">
        <v>23</v>
      </c>
    </row>
    <row r="578" spans="2:12" s="52" customFormat="1" ht="34.200000000000003" customHeight="1" x14ac:dyDescent="0.3">
      <c r="B578" s="36" t="s">
        <v>848</v>
      </c>
      <c r="C578" s="125" t="s">
        <v>17</v>
      </c>
      <c r="D578" s="38"/>
      <c r="E578" s="39" t="str">
        <f>E574</f>
        <v>SVT + HGGSP ou SVT + Physique-Chimie</v>
      </c>
      <c r="F578" s="40"/>
      <c r="G578" s="41" t="s">
        <v>849</v>
      </c>
      <c r="H578" s="44"/>
      <c r="I578" s="44" t="str">
        <f>I574</f>
        <v>SVT+HGGSP | SVT+PC</v>
      </c>
      <c r="J578" s="44"/>
      <c r="K578" t="s">
        <v>19</v>
      </c>
    </row>
    <row r="579" spans="2:12" s="52" customFormat="1" ht="34.200000000000003" customHeight="1" x14ac:dyDescent="0.3">
      <c r="B579" s="88" t="s">
        <v>1324</v>
      </c>
      <c r="C579" s="92" t="s">
        <v>17</v>
      </c>
      <c r="D579" s="89"/>
      <c r="E579" s="39" t="str">
        <f>E$574</f>
        <v>SVT + HGGSP ou SVT + Physique-Chimie</v>
      </c>
      <c r="F579" s="40"/>
      <c r="G579" s="41" t="s">
        <v>1325</v>
      </c>
      <c r="H579" s="44" t="str">
        <f>H$574</f>
        <v>Licences écologie</v>
      </c>
      <c r="I579" s="44" t="str">
        <f>I$574</f>
        <v>SVT+HGGSP | SVT+PC</v>
      </c>
      <c r="J579" s="44"/>
      <c r="K579" s="100" t="s">
        <v>19</v>
      </c>
    </row>
    <row r="580" spans="2:12" s="52" customFormat="1" ht="34.200000000000003" customHeight="1" x14ac:dyDescent="0.3">
      <c r="B580" s="36" t="s">
        <v>228</v>
      </c>
      <c r="C580" s="128" t="s">
        <v>17</v>
      </c>
      <c r="D580" s="38"/>
      <c r="E580" s="39" t="str">
        <f>E578</f>
        <v>SVT + HGGSP ou SVT + Physique-Chimie</v>
      </c>
      <c r="F580" s="40"/>
      <c r="G580" s="41" t="s">
        <v>1058</v>
      </c>
      <c r="H580" s="44"/>
      <c r="I580" s="44" t="str">
        <f>I578</f>
        <v>SVT+HGGSP | SVT+PC</v>
      </c>
      <c r="J580" s="44"/>
      <c r="K580" t="s">
        <v>23</v>
      </c>
    </row>
    <row r="581" spans="2:12" s="52" customFormat="1" ht="34.200000000000003" customHeight="1" x14ac:dyDescent="0.3">
      <c r="B581" s="88" t="s">
        <v>1501</v>
      </c>
      <c r="C581" s="92" t="s">
        <v>17</v>
      </c>
      <c r="D581" s="89"/>
      <c r="E581" s="39" t="str">
        <f>E$574</f>
        <v>SVT + HGGSP ou SVT + Physique-Chimie</v>
      </c>
      <c r="F581" s="40"/>
      <c r="G581" s="41" t="s">
        <v>1502</v>
      </c>
      <c r="H581" s="44" t="s">
        <v>1503</v>
      </c>
      <c r="I581" s="44" t="str">
        <f>I$574</f>
        <v>SVT+HGGSP | SVT+PC</v>
      </c>
      <c r="J581" s="44"/>
      <c r="K581" s="124" t="s">
        <v>38</v>
      </c>
    </row>
    <row r="582" spans="2:12" s="52" customFormat="1" ht="45.6" customHeight="1" x14ac:dyDescent="0.3">
      <c r="B582" s="36" t="s">
        <v>638</v>
      </c>
      <c r="C582" s="129" t="s">
        <v>17</v>
      </c>
      <c r="D582" s="38"/>
      <c r="E582" s="39" t="str">
        <f>E580</f>
        <v>SVT + HGGSP ou SVT + Physique-Chimie</v>
      </c>
      <c r="F582" s="40"/>
      <c r="G582" s="41" t="s">
        <v>639</v>
      </c>
      <c r="H582" s="44"/>
      <c r="I582" s="44" t="str">
        <f>I580</f>
        <v>SVT+HGGSP | SVT+PC</v>
      </c>
      <c r="J582" s="44"/>
      <c r="K582" t="s">
        <v>19</v>
      </c>
    </row>
    <row r="583" spans="2:12" s="52" customFormat="1" ht="6" customHeight="1" x14ac:dyDescent="0.3">
      <c r="B583" s="36" t="s">
        <v>640</v>
      </c>
      <c r="C583" s="60" t="s">
        <v>17</v>
      </c>
      <c r="D583" s="38"/>
      <c r="E583" s="39" t="str">
        <f>E582</f>
        <v>SVT + HGGSP ou SVT + Physique-Chimie</v>
      </c>
      <c r="F583" s="40"/>
      <c r="G583" s="41" t="s">
        <v>641</v>
      </c>
      <c r="H583" s="44"/>
      <c r="I583" s="44" t="str">
        <f>I582</f>
        <v>SVT+HGGSP | SVT+PC</v>
      </c>
      <c r="J583" s="44"/>
      <c r="K583" t="s">
        <v>19</v>
      </c>
    </row>
    <row r="584" spans="2:12" ht="30" customHeight="1" x14ac:dyDescent="0.3">
      <c r="B584" s="36" t="s">
        <v>642</v>
      </c>
      <c r="C584" s="60" t="s">
        <v>17</v>
      </c>
      <c r="D584" s="38"/>
      <c r="E584" s="39" t="str">
        <f>E583</f>
        <v>SVT + HGGSP ou SVT + Physique-Chimie</v>
      </c>
      <c r="F584" s="40"/>
      <c r="G584" s="41" t="s">
        <v>643</v>
      </c>
      <c r="H584" s="44"/>
      <c r="I584" s="44" t="str">
        <f>I583</f>
        <v>SVT+HGGSP | SVT+PC</v>
      </c>
      <c r="J584" s="44"/>
      <c r="K584" t="s">
        <v>38</v>
      </c>
    </row>
    <row r="585" spans="2:12" ht="45.6" customHeight="1" x14ac:dyDescent="0.3">
      <c r="B585" s="36" t="s">
        <v>595</v>
      </c>
      <c r="C585" s="62" t="s">
        <v>17</v>
      </c>
      <c r="D585" s="38"/>
      <c r="E585" s="39" t="str">
        <f>E$574</f>
        <v>SVT + HGGSP ou SVT + Physique-Chimie</v>
      </c>
      <c r="F585" s="40"/>
      <c r="G585" s="41" t="s">
        <v>1059</v>
      </c>
      <c r="H585" s="44"/>
      <c r="I585" s="44" t="str">
        <f>I$574</f>
        <v>SVT+HGGSP | SVT+PC</v>
      </c>
      <c r="J585" s="44"/>
      <c r="K585" t="s">
        <v>71</v>
      </c>
    </row>
    <row r="586" spans="2:12" s="52" customFormat="1" ht="57" customHeight="1" x14ac:dyDescent="0.3">
      <c r="B586" s="36" t="s">
        <v>1060</v>
      </c>
      <c r="C586" s="77" t="s">
        <v>17</v>
      </c>
      <c r="D586" s="38"/>
      <c r="E586" s="39" t="str">
        <f>E$574</f>
        <v>SVT + HGGSP ou SVT + Physique-Chimie</v>
      </c>
      <c r="F586" s="40"/>
      <c r="G586" s="41" t="s">
        <v>1061</v>
      </c>
      <c r="H586" s="44"/>
      <c r="I586" s="44" t="str">
        <f>I$574</f>
        <v>SVT+HGGSP | SVT+PC</v>
      </c>
      <c r="J586" s="44"/>
      <c r="K586" s="87" t="s">
        <v>19</v>
      </c>
      <c r="L586" s="87"/>
    </row>
    <row r="587" spans="2:12" s="52" customFormat="1" ht="57" customHeight="1" x14ac:dyDescent="0.3">
      <c r="B587" s="36" t="s">
        <v>1062</v>
      </c>
      <c r="C587" s="77" t="s">
        <v>17</v>
      </c>
      <c r="D587" s="38"/>
      <c r="E587" s="39" t="str">
        <f>E$574</f>
        <v>SVT + HGGSP ou SVT + Physique-Chimie</v>
      </c>
      <c r="F587" s="40"/>
      <c r="G587" s="41" t="s">
        <v>1063</v>
      </c>
      <c r="H587" s="44"/>
      <c r="I587" s="44" t="str">
        <f>I$574</f>
        <v>SVT+HGGSP | SVT+PC</v>
      </c>
      <c r="J587" s="44"/>
      <c r="K587" t="s">
        <v>19</v>
      </c>
    </row>
    <row r="588" spans="2:12" s="52" customFormat="1" ht="14.4" customHeight="1" x14ac:dyDescent="0.3"/>
    <row r="589" spans="2:12" s="52" customFormat="1" ht="34.799999999999997" customHeight="1" thickBot="1" x14ac:dyDescent="0.35">
      <c r="B589" s="33" t="s">
        <v>1064</v>
      </c>
      <c r="C589" s="32"/>
      <c r="D589" s="32"/>
      <c r="E589" s="34" t="s">
        <v>191</v>
      </c>
      <c r="F589" s="35"/>
      <c r="G589" s="32"/>
      <c r="H589" s="43" t="s">
        <v>1065</v>
      </c>
      <c r="I589" s="43" t="s">
        <v>193</v>
      </c>
      <c r="J589" s="43"/>
    </row>
    <row r="590" spans="2:12" s="52" customFormat="1" ht="34.200000000000003" customHeight="1" x14ac:dyDescent="0.3">
      <c r="B590" s="36" t="s">
        <v>1066</v>
      </c>
      <c r="C590" s="60" t="s">
        <v>17</v>
      </c>
      <c r="D590" s="38"/>
      <c r="E590" s="39" t="str">
        <f>E589</f>
        <v>SVT + HGGSP ou SVT + Physique-Chimie</v>
      </c>
      <c r="F590" s="40"/>
      <c r="G590" s="41" t="s">
        <v>1067</v>
      </c>
      <c r="H590" s="44"/>
      <c r="I590" s="44" t="str">
        <f>I589</f>
        <v>SVT+HGGSP | SVT+PC</v>
      </c>
      <c r="J590" s="44"/>
      <c r="K590" t="s">
        <v>23</v>
      </c>
    </row>
    <row r="591" spans="2:12" s="52" customFormat="1" ht="6" customHeight="1" x14ac:dyDescent="0.3">
      <c r="B591" s="36" t="s">
        <v>1068</v>
      </c>
      <c r="C591" s="60" t="s">
        <v>17</v>
      </c>
      <c r="D591" s="38"/>
      <c r="E591" s="39" t="str">
        <f>E589</f>
        <v>SVT + HGGSP ou SVT + Physique-Chimie</v>
      </c>
      <c r="F591" s="40"/>
      <c r="G591" s="41" t="s">
        <v>1069</v>
      </c>
      <c r="H591" s="44"/>
      <c r="I591" s="44" t="str">
        <f>I589</f>
        <v>SVT+HGGSP | SVT+PC</v>
      </c>
      <c r="J591" s="44"/>
      <c r="K591" t="s">
        <v>23</v>
      </c>
    </row>
    <row r="592" spans="2:12" s="52" customFormat="1" ht="6" customHeight="1" x14ac:dyDescent="0.3">
      <c r="B592" s="36" t="s">
        <v>1070</v>
      </c>
      <c r="C592" s="60" t="s">
        <v>17</v>
      </c>
      <c r="D592" s="38"/>
      <c r="E592" s="39" t="str">
        <f>E589</f>
        <v>SVT + HGGSP ou SVT + Physique-Chimie</v>
      </c>
      <c r="F592" s="40"/>
      <c r="G592" s="41" t="s">
        <v>1071</v>
      </c>
      <c r="H592" s="44"/>
      <c r="I592" s="44" t="str">
        <f>I589</f>
        <v>SVT+HGGSP | SVT+PC</v>
      </c>
      <c r="J592" s="44"/>
      <c r="K592" t="s">
        <v>19</v>
      </c>
    </row>
    <row r="593" spans="2:11" s="52" customFormat="1" ht="6" customHeight="1" x14ac:dyDescent="0.3">
      <c r="B593" s="36" t="s">
        <v>1072</v>
      </c>
      <c r="C593" s="60" t="s">
        <v>17</v>
      </c>
      <c r="D593" s="38"/>
      <c r="E593" s="39" t="str">
        <f>E$589</f>
        <v>SVT + HGGSP ou SVT + Physique-Chimie</v>
      </c>
      <c r="F593" s="40"/>
      <c r="G593" s="41" t="s">
        <v>1073</v>
      </c>
      <c r="H593" s="44"/>
      <c r="I593" s="44" t="str">
        <f>I$589</f>
        <v>SVT+HGGSP | SVT+PC</v>
      </c>
      <c r="J593" s="44"/>
      <c r="K593" t="s">
        <v>19</v>
      </c>
    </row>
    <row r="594" spans="2:11" s="52" customFormat="1" ht="6" customHeight="1" x14ac:dyDescent="0.3">
      <c r="B594" s="36" t="s">
        <v>1074</v>
      </c>
      <c r="C594" s="60" t="s">
        <v>17</v>
      </c>
      <c r="D594" s="38"/>
      <c r="E594" s="39" t="str">
        <f>E$589</f>
        <v>SVT + HGGSP ou SVT + Physique-Chimie</v>
      </c>
      <c r="F594" s="40"/>
      <c r="G594" s="41" t="s">
        <v>1075</v>
      </c>
      <c r="H594" s="44"/>
      <c r="I594" s="44" t="str">
        <f>I$589</f>
        <v>SVT+HGGSP | SVT+PC</v>
      </c>
      <c r="J594" s="44"/>
      <c r="K594" t="s">
        <v>38</v>
      </c>
    </row>
    <row r="595" spans="2:11" ht="30" customHeight="1" x14ac:dyDescent="0.3">
      <c r="B595" s="52"/>
      <c r="C595" s="52"/>
      <c r="D595" s="52"/>
      <c r="E595" s="52"/>
      <c r="F595" s="52"/>
      <c r="G595" s="52"/>
      <c r="H595" s="52"/>
      <c r="I595" s="52"/>
      <c r="J595" s="52"/>
    </row>
    <row r="596" spans="2:11" ht="103.2" customHeight="1" thickBot="1" x14ac:dyDescent="0.35">
      <c r="B596" s="33" t="s">
        <v>1076</v>
      </c>
      <c r="C596" s="32"/>
      <c r="D596" s="32"/>
      <c r="E596" s="34" t="s">
        <v>40</v>
      </c>
      <c r="F596" s="35" t="s">
        <v>344</v>
      </c>
      <c r="G596" s="32"/>
      <c r="H596" s="43" t="s">
        <v>1077</v>
      </c>
      <c r="I596" s="43" t="s">
        <v>43</v>
      </c>
      <c r="J596" s="43"/>
    </row>
    <row r="597" spans="2:11" s="52" customFormat="1" ht="102.6" customHeight="1" x14ac:dyDescent="0.3">
      <c r="B597" s="36" t="s">
        <v>1078</v>
      </c>
      <c r="C597" s="60" t="s">
        <v>17</v>
      </c>
      <c r="D597" s="38"/>
      <c r="E597" s="39" t="s">
        <v>40</v>
      </c>
      <c r="F597" s="40"/>
      <c r="G597" s="41" t="s">
        <v>1079</v>
      </c>
      <c r="H597" s="44"/>
      <c r="I597" s="44" t="s">
        <v>43</v>
      </c>
      <c r="J597" s="44"/>
      <c r="K597" t="s">
        <v>23</v>
      </c>
    </row>
    <row r="598" spans="2:11" s="52" customFormat="1" ht="6" customHeight="1" x14ac:dyDescent="0.3">
      <c r="B598" s="36" t="s">
        <v>1046</v>
      </c>
      <c r="C598" s="60" t="s">
        <v>17</v>
      </c>
      <c r="D598" s="38"/>
      <c r="E598" s="39" t="s">
        <v>40</v>
      </c>
      <c r="F598" s="40"/>
      <c r="G598" s="41" t="s">
        <v>1080</v>
      </c>
      <c r="H598" s="44"/>
      <c r="I598" s="44" t="s">
        <v>43</v>
      </c>
      <c r="J598" s="44"/>
      <c r="K598" t="s">
        <v>19</v>
      </c>
    </row>
    <row r="599" spans="2:11" ht="25.95" customHeight="1" x14ac:dyDescent="0.3">
      <c r="B599" s="36" t="s">
        <v>1081</v>
      </c>
      <c r="C599" s="62" t="s">
        <v>17</v>
      </c>
      <c r="D599" s="38"/>
      <c r="E599" s="39" t="s">
        <v>40</v>
      </c>
      <c r="F599" s="40"/>
      <c r="G599" s="41" t="s">
        <v>1082</v>
      </c>
      <c r="H599" s="44"/>
      <c r="I599" s="44" t="s">
        <v>43</v>
      </c>
      <c r="J599" s="44"/>
      <c r="K599" t="s">
        <v>19</v>
      </c>
    </row>
    <row r="600" spans="2:11" ht="102.6" customHeight="1" x14ac:dyDescent="0.3">
      <c r="B600" s="36" t="s">
        <v>232</v>
      </c>
      <c r="C600" s="60" t="s">
        <v>17</v>
      </c>
      <c r="D600" s="38"/>
      <c r="E600" s="39" t="s">
        <v>40</v>
      </c>
      <c r="F600" s="40"/>
      <c r="G600" s="41" t="s">
        <v>233</v>
      </c>
      <c r="H600" s="44"/>
      <c r="I600" s="44" t="s">
        <v>43</v>
      </c>
      <c r="J600" s="44"/>
      <c r="K600" t="s">
        <v>23</v>
      </c>
    </row>
    <row r="601" spans="2:11" s="52" customFormat="1" ht="102.6" customHeight="1" x14ac:dyDescent="0.3">
      <c r="B601" s="36" t="s">
        <v>1083</v>
      </c>
      <c r="C601" s="62" t="s">
        <v>17</v>
      </c>
      <c r="D601" s="38"/>
      <c r="E601" s="39" t="str">
        <f>E$596</f>
        <v>SVT + Maths, SVT + Physique-Chimie, SVT + HGGSP, SVT + NSI, SVT + LLCER ou SVT + HLP</v>
      </c>
      <c r="F601" s="40" t="str">
        <f>F$596</f>
        <v>DGEMC conseillée (option Tle)</v>
      </c>
      <c r="G601" s="41" t="s">
        <v>1084</v>
      </c>
      <c r="H601" s="44"/>
      <c r="I601" s="44" t="str">
        <f>I$596</f>
        <v>SVT+Maths | SVT+PC | SVT+HGGSP | SVT+NSI | SVT+LLCER | SVT+HLP</v>
      </c>
      <c r="J601" s="44"/>
      <c r="K601" t="s">
        <v>19</v>
      </c>
    </row>
    <row r="602" spans="2:11" s="52" customFormat="1" ht="102.6" customHeight="1" x14ac:dyDescent="0.3">
      <c r="B602" s="36" t="s">
        <v>1085</v>
      </c>
      <c r="C602" s="62" t="s">
        <v>17</v>
      </c>
      <c r="D602" s="38"/>
      <c r="E602" s="39" t="str">
        <f>E$596</f>
        <v>SVT + Maths, SVT + Physique-Chimie, SVT + HGGSP, SVT + NSI, SVT + LLCER ou SVT + HLP</v>
      </c>
      <c r="F602" s="40" t="str">
        <f>F$596</f>
        <v>DGEMC conseillée (option Tle)</v>
      </c>
      <c r="G602" s="41" t="s">
        <v>1086</v>
      </c>
      <c r="H602" s="44"/>
      <c r="I602" s="44" t="str">
        <f>I$596</f>
        <v>SVT+Maths | SVT+PC | SVT+HGGSP | SVT+NSI | SVT+LLCER | SVT+HLP</v>
      </c>
      <c r="J602" s="44"/>
      <c r="K602" t="s">
        <v>19</v>
      </c>
    </row>
    <row r="603" spans="2:11" s="52" customFormat="1" ht="6" customHeight="1" x14ac:dyDescent="0.3">
      <c r="B603" s="55" t="s">
        <v>1087</v>
      </c>
      <c r="C603" s="78" t="s">
        <v>17</v>
      </c>
      <c r="D603" s="38"/>
      <c r="E603" s="52" t="s">
        <v>40</v>
      </c>
      <c r="G603" s="59" t="s">
        <v>1088</v>
      </c>
      <c r="I603" s="52" t="s">
        <v>43</v>
      </c>
      <c r="K603" t="s">
        <v>19</v>
      </c>
    </row>
    <row r="604" spans="2:11" ht="25.95" customHeight="1" x14ac:dyDescent="0.3">
      <c r="B604" s="55" t="s">
        <v>1089</v>
      </c>
      <c r="C604" s="78" t="s">
        <v>17</v>
      </c>
      <c r="D604" s="38"/>
      <c r="E604" s="57" t="s">
        <v>1090</v>
      </c>
      <c r="F604" s="52"/>
      <c r="G604" s="59" t="s">
        <v>1091</v>
      </c>
      <c r="H604" s="82" t="s">
        <v>1092</v>
      </c>
      <c r="I604" s="83" t="s">
        <v>1093</v>
      </c>
      <c r="J604" s="82"/>
      <c r="K604" t="s">
        <v>19</v>
      </c>
    </row>
    <row r="605" spans="2:11" ht="57" customHeight="1" x14ac:dyDescent="0.3">
      <c r="B605" s="55" t="s">
        <v>1094</v>
      </c>
      <c r="C605" s="78" t="s">
        <v>17</v>
      </c>
      <c r="D605" s="38"/>
      <c r="E605" s="57" t="s">
        <v>1095</v>
      </c>
      <c r="F605" s="52"/>
      <c r="G605" s="59" t="s">
        <v>1096</v>
      </c>
      <c r="H605" s="82" t="s">
        <v>1097</v>
      </c>
      <c r="I605" s="83" t="s">
        <v>1098</v>
      </c>
      <c r="J605" s="82"/>
      <c r="K605" t="s">
        <v>19</v>
      </c>
    </row>
    <row r="606" spans="2:11" s="52" customFormat="1" ht="14.4" customHeight="1" x14ac:dyDescent="0.3"/>
    <row r="607" spans="2:11" s="52" customFormat="1" ht="46.2" customHeight="1" thickBot="1" x14ac:dyDescent="0.35">
      <c r="B607" s="33" t="s">
        <v>1099</v>
      </c>
      <c r="C607" s="32"/>
      <c r="D607" s="32"/>
      <c r="E607" s="34" t="s">
        <v>1100</v>
      </c>
      <c r="F607" s="35" t="s">
        <v>344</v>
      </c>
      <c r="G607" s="32"/>
      <c r="H607" s="43" t="s">
        <v>1101</v>
      </c>
      <c r="I607" s="43" t="s">
        <v>1102</v>
      </c>
      <c r="J607" s="43"/>
    </row>
    <row r="608" spans="2:11" s="52" customFormat="1" ht="45.6" customHeight="1" x14ac:dyDescent="0.3">
      <c r="B608" s="36" t="s">
        <v>1078</v>
      </c>
      <c r="C608" s="60" t="s">
        <v>17</v>
      </c>
      <c r="D608" s="38"/>
      <c r="E608" s="39" t="s">
        <v>1100</v>
      </c>
      <c r="F608" s="40" t="str">
        <f>F607</f>
        <v>DGEMC conseillée (option Tle)</v>
      </c>
      <c r="G608" s="41" t="s">
        <v>1103</v>
      </c>
      <c r="H608" s="44"/>
      <c r="I608" s="44" t="s">
        <v>1102</v>
      </c>
      <c r="J608" s="44"/>
      <c r="K608" t="s">
        <v>23</v>
      </c>
    </row>
    <row r="609" spans="2:12" s="52" customFormat="1" ht="45.6" customHeight="1" x14ac:dyDescent="0.3">
      <c r="B609" s="36" t="s">
        <v>1081</v>
      </c>
      <c r="C609" s="62" t="s">
        <v>17</v>
      </c>
      <c r="D609" s="38"/>
      <c r="E609" s="39" t="s">
        <v>1100</v>
      </c>
      <c r="F609" s="40" t="str">
        <f>F607</f>
        <v>DGEMC conseillée (option Tle)</v>
      </c>
      <c r="G609" s="41" t="s">
        <v>1082</v>
      </c>
      <c r="H609" s="44"/>
      <c r="I609" s="44" t="s">
        <v>1102</v>
      </c>
      <c r="J609" s="44"/>
      <c r="K609" t="s">
        <v>19</v>
      </c>
    </row>
    <row r="610" spans="2:12" s="52" customFormat="1" ht="6" customHeight="1" x14ac:dyDescent="0.3">
      <c r="B610" s="36" t="s">
        <v>1104</v>
      </c>
      <c r="C610" s="77" t="s">
        <v>17</v>
      </c>
      <c r="D610" s="38"/>
      <c r="E610" s="39" t="s">
        <v>1100</v>
      </c>
      <c r="F610" s="40" t="s">
        <v>344</v>
      </c>
      <c r="G610" s="41" t="s">
        <v>1105</v>
      </c>
      <c r="H610" s="44"/>
      <c r="I610" s="44" t="s">
        <v>1102</v>
      </c>
      <c r="J610" s="44"/>
      <c r="K610" t="s">
        <v>23</v>
      </c>
    </row>
    <row r="611" spans="2:12" ht="25.95" customHeight="1" x14ac:dyDescent="0.3">
      <c r="B611" s="52"/>
      <c r="C611" s="52"/>
      <c r="D611" s="52"/>
      <c r="E611" s="52"/>
      <c r="F611" s="52"/>
      <c r="G611" s="52"/>
      <c r="H611" s="52"/>
      <c r="I611" s="52"/>
      <c r="J611" s="52"/>
    </row>
    <row r="612" spans="2:12" s="24" customFormat="1" ht="57.6" customHeight="1" thickBot="1" x14ac:dyDescent="0.35">
      <c r="B612" s="33" t="s">
        <v>1106</v>
      </c>
      <c r="C612" s="32"/>
      <c r="D612" s="32"/>
      <c r="E612" s="34" t="s">
        <v>960</v>
      </c>
      <c r="F612" s="35"/>
      <c r="G612" s="32"/>
      <c r="H612" s="43" t="s">
        <v>1107</v>
      </c>
      <c r="I612" s="43" t="s">
        <v>962</v>
      </c>
      <c r="J612" s="43"/>
    </row>
    <row r="613" spans="2:12" s="52" customFormat="1" ht="57" customHeight="1" x14ac:dyDescent="0.3">
      <c r="B613" s="36" t="s">
        <v>1108</v>
      </c>
      <c r="C613" s="54" t="s">
        <v>17</v>
      </c>
      <c r="D613" s="38"/>
      <c r="E613" s="39" t="str">
        <f>E612</f>
        <v>SVT + Physique-Chimie, SVT + Maths ou SVT + HGGSP</v>
      </c>
      <c r="F613" s="40"/>
      <c r="G613" s="41" t="s">
        <v>1109</v>
      </c>
      <c r="H613" s="44"/>
      <c r="I613" s="44" t="str">
        <f>I612</f>
        <v>SVT+PC | SVT+Maths | SVT+HGGSP</v>
      </c>
      <c r="J613" s="44"/>
      <c r="K613" s="87" t="s">
        <v>38</v>
      </c>
      <c r="L613" s="87"/>
    </row>
    <row r="614" spans="2:12" s="52" customFormat="1" ht="57" customHeight="1" x14ac:dyDescent="0.3">
      <c r="B614" s="36" t="s">
        <v>512</v>
      </c>
      <c r="C614" s="54" t="s">
        <v>17</v>
      </c>
      <c r="D614" s="38"/>
      <c r="E614" s="39" t="str">
        <f>E612</f>
        <v>SVT + Physique-Chimie, SVT + Maths ou SVT + HGGSP</v>
      </c>
      <c r="F614" s="40"/>
      <c r="G614" s="41" t="s">
        <v>1110</v>
      </c>
      <c r="H614" s="44"/>
      <c r="I614" s="44" t="str">
        <f>I612</f>
        <v>SVT+PC | SVT+Maths | SVT+HGGSP</v>
      </c>
      <c r="J614" s="44"/>
      <c r="K614" t="s">
        <v>71</v>
      </c>
    </row>
    <row r="615" spans="2:12" s="52" customFormat="1" ht="57" customHeight="1" x14ac:dyDescent="0.3">
      <c r="B615" s="36" t="s">
        <v>514</v>
      </c>
      <c r="C615" s="54" t="s">
        <v>17</v>
      </c>
      <c r="D615" s="38"/>
      <c r="E615" s="39" t="str">
        <f>E612</f>
        <v>SVT + Physique-Chimie, SVT + Maths ou SVT + HGGSP</v>
      </c>
      <c r="F615" s="40"/>
      <c r="G615" s="41" t="s">
        <v>515</v>
      </c>
      <c r="H615" s="44"/>
      <c r="I615" s="44" t="str">
        <f>I612</f>
        <v>SVT+PC | SVT+Maths | SVT+HGGSP</v>
      </c>
      <c r="J615" s="44"/>
      <c r="K615" s="87" t="s">
        <v>19</v>
      </c>
      <c r="L615" s="87"/>
    </row>
    <row r="616" spans="2:12" s="52" customFormat="1" ht="14.4" customHeight="1" x14ac:dyDescent="0.3"/>
    <row r="617" spans="2:12" s="52" customFormat="1" ht="34.799999999999997" customHeight="1" thickBot="1" x14ac:dyDescent="0.35">
      <c r="B617" s="33" t="s">
        <v>1111</v>
      </c>
      <c r="C617" s="32"/>
      <c r="D617" s="32"/>
      <c r="E617" s="34" t="s">
        <v>13</v>
      </c>
      <c r="F617" s="35"/>
      <c r="G617" s="32"/>
      <c r="H617" s="43" t="s">
        <v>1112</v>
      </c>
      <c r="I617" s="43" t="s">
        <v>15</v>
      </c>
      <c r="J617" s="43"/>
    </row>
    <row r="618" spans="2:12" s="52" customFormat="1" ht="34.200000000000003" customHeight="1" x14ac:dyDescent="0.3">
      <c r="B618" s="36" t="s">
        <v>226</v>
      </c>
      <c r="C618" s="54" t="s">
        <v>17</v>
      </c>
      <c r="D618" s="38"/>
      <c r="E618" s="39" t="str">
        <f>E617</f>
        <v>SVT + Physique-Chimie ou SVT + Maths</v>
      </c>
      <c r="F618" s="40"/>
      <c r="G618" s="41" t="s">
        <v>227</v>
      </c>
      <c r="H618" s="44"/>
      <c r="I618" s="44" t="str">
        <f>I617</f>
        <v>SVT+PC | SVT+Maths</v>
      </c>
      <c r="J618" s="44"/>
      <c r="K618" t="s">
        <v>19</v>
      </c>
    </row>
    <row r="619" spans="2:12" s="52" customFormat="1" ht="45.6" customHeight="1" x14ac:dyDescent="0.3">
      <c r="B619" s="36" t="s">
        <v>693</v>
      </c>
      <c r="C619" s="68" t="s">
        <v>17</v>
      </c>
      <c r="D619" s="38"/>
      <c r="E619" s="39" t="str">
        <f>E$617</f>
        <v>SVT + Physique-Chimie ou SVT + Maths</v>
      </c>
      <c r="F619" s="40"/>
      <c r="G619" s="41" t="s">
        <v>1113</v>
      </c>
      <c r="H619" s="44"/>
      <c r="I619" s="44" t="str">
        <f>I$617</f>
        <v>SVT+PC | SVT+Maths</v>
      </c>
      <c r="J619" s="44"/>
      <c r="K619" t="s">
        <v>19</v>
      </c>
    </row>
    <row r="620" spans="2:12" s="52" customFormat="1" ht="57" customHeight="1" x14ac:dyDescent="0.3">
      <c r="B620" s="36" t="s">
        <v>1114</v>
      </c>
      <c r="C620" s="77" t="s">
        <v>17</v>
      </c>
      <c r="D620" s="38"/>
      <c r="E620" s="39" t="s">
        <v>13</v>
      </c>
      <c r="F620" s="40"/>
      <c r="G620" s="41" t="s">
        <v>1115</v>
      </c>
      <c r="H620" s="44"/>
      <c r="I620" s="44" t="s">
        <v>15</v>
      </c>
      <c r="J620" s="44"/>
      <c r="K620" t="s">
        <v>19</v>
      </c>
    </row>
    <row r="621" spans="2:12" s="52" customFormat="1" ht="57" customHeight="1" x14ac:dyDescent="0.3">
      <c r="B621" s="36" t="s">
        <v>1116</v>
      </c>
      <c r="C621" s="77" t="s">
        <v>17</v>
      </c>
      <c r="D621" s="38"/>
      <c r="E621" s="39" t="s">
        <v>13</v>
      </c>
      <c r="F621" s="40"/>
      <c r="G621" s="41" t="s">
        <v>1117</v>
      </c>
      <c r="H621" s="44"/>
      <c r="I621" s="44" t="s">
        <v>15</v>
      </c>
      <c r="J621" s="44"/>
      <c r="K621" t="s">
        <v>19</v>
      </c>
    </row>
    <row r="622" spans="2:12" s="52" customFormat="1" ht="57" customHeight="1" x14ac:dyDescent="0.3">
      <c r="B622" s="36" t="s">
        <v>1118</v>
      </c>
      <c r="C622" s="90" t="s">
        <v>17</v>
      </c>
      <c r="D622" s="38"/>
      <c r="E622" s="39" t="str">
        <f>E$617</f>
        <v>SVT + Physique-Chimie ou SVT + Maths</v>
      </c>
      <c r="F622" s="40"/>
      <c r="G622" s="41" t="s">
        <v>1119</v>
      </c>
      <c r="H622" s="44"/>
      <c r="I622" s="44" t="str">
        <f>I$617</f>
        <v>SVT+PC | SVT+Maths</v>
      </c>
      <c r="J622" s="44"/>
      <c r="K622" t="s">
        <v>19</v>
      </c>
    </row>
    <row r="623" spans="2:12" s="52" customFormat="1" ht="57" customHeight="1" x14ac:dyDescent="0.3">
      <c r="B623" s="88" t="s">
        <v>1537</v>
      </c>
      <c r="C623" s="94" t="s">
        <v>17</v>
      </c>
      <c r="D623" s="89"/>
      <c r="E623" s="39" t="s">
        <v>1538</v>
      </c>
      <c r="F623" s="40"/>
      <c r="G623" s="41" t="s">
        <v>1540</v>
      </c>
      <c r="H623" s="44" t="s">
        <v>1541</v>
      </c>
      <c r="I623" s="44" t="s">
        <v>1539</v>
      </c>
      <c r="J623" s="44"/>
      <c r="K623" s="97" t="s">
        <v>71</v>
      </c>
    </row>
    <row r="624" spans="2:12" s="52" customFormat="1" ht="57" customHeight="1" x14ac:dyDescent="0.3">
      <c r="B624" s="88" t="s">
        <v>1620</v>
      </c>
      <c r="C624" s="162" t="s">
        <v>17</v>
      </c>
      <c r="D624" s="89"/>
      <c r="E624" s="39" t="str">
        <f>E$617</f>
        <v>SVT + Physique-Chimie ou SVT + Maths</v>
      </c>
      <c r="F624" s="40"/>
      <c r="G624" s="41" t="s">
        <v>1621</v>
      </c>
      <c r="H624" s="44" t="s">
        <v>1622</v>
      </c>
      <c r="I624" s="44" t="str">
        <f>I$617</f>
        <v>SVT+PC | SVT+Maths</v>
      </c>
      <c r="J624" s="44"/>
      <c r="K624" s="97" t="s">
        <v>19</v>
      </c>
    </row>
    <row r="625" spans="1:11" s="52" customFormat="1" ht="57" customHeight="1" x14ac:dyDescent="0.3">
      <c r="B625" s="88" t="s">
        <v>1702</v>
      </c>
      <c r="C625" s="92" t="s">
        <v>17</v>
      </c>
      <c r="D625" s="89"/>
      <c r="E625" s="39" t="str">
        <f>E$617</f>
        <v>SVT + Physique-Chimie ou SVT + Maths</v>
      </c>
      <c r="F625" s="40"/>
      <c r="G625" s="41" t="s">
        <v>1703</v>
      </c>
      <c r="H625" s="44" t="s">
        <v>1704</v>
      </c>
      <c r="I625" s="44" t="str">
        <f>I$617</f>
        <v>SVT+PC | SVT+Maths</v>
      </c>
      <c r="J625" s="44"/>
      <c r="K625" s="97" t="s">
        <v>19</v>
      </c>
    </row>
    <row r="626" spans="1:11" s="52" customFormat="1" ht="14.4" customHeight="1" x14ac:dyDescent="0.3">
      <c r="A626" s="24"/>
    </row>
    <row r="627" spans="1:11" s="52" customFormat="1" ht="34.799999999999997" customHeight="1" thickBot="1" x14ac:dyDescent="0.35">
      <c r="A627" s="24"/>
      <c r="B627" s="33" t="s">
        <v>1120</v>
      </c>
      <c r="C627" s="32"/>
      <c r="D627" s="32"/>
      <c r="E627" s="34" t="s">
        <v>13</v>
      </c>
      <c r="F627" s="35"/>
      <c r="G627" s="32"/>
      <c r="H627" s="43" t="s">
        <v>1121</v>
      </c>
      <c r="I627" s="43" t="s">
        <v>15</v>
      </c>
      <c r="J627" s="43"/>
    </row>
    <row r="628" spans="1:11" s="52" customFormat="1" ht="34.200000000000003" customHeight="1" x14ac:dyDescent="0.3">
      <c r="A628" s="24"/>
      <c r="B628" s="36" t="s">
        <v>1122</v>
      </c>
      <c r="C628" s="54" t="s">
        <v>17</v>
      </c>
      <c r="D628" s="38"/>
      <c r="E628" s="39" t="str">
        <f>E627</f>
        <v>SVT + Physique-Chimie ou SVT + Maths</v>
      </c>
      <c r="F628" s="40"/>
      <c r="G628" s="41" t="s">
        <v>1123</v>
      </c>
      <c r="H628" s="44"/>
      <c r="I628" s="44" t="str">
        <f>I627</f>
        <v>SVT+PC | SVT+Maths</v>
      </c>
      <c r="J628" s="44"/>
      <c r="K628" t="s">
        <v>19</v>
      </c>
    </row>
    <row r="629" spans="1:11" s="52" customFormat="1" ht="34.200000000000003" customHeight="1" x14ac:dyDescent="0.3">
      <c r="A629" s="24"/>
      <c r="B629" s="36" t="s">
        <v>1124</v>
      </c>
      <c r="C629" s="68" t="s">
        <v>17</v>
      </c>
      <c r="D629" s="38"/>
      <c r="E629" s="39" t="str">
        <f>E$627</f>
        <v>SVT + Physique-Chimie ou SVT + Maths</v>
      </c>
      <c r="F629" s="40"/>
      <c r="G629" s="41" t="s">
        <v>1125</v>
      </c>
      <c r="H629" s="44"/>
      <c r="I629" s="44" t="str">
        <f>I$627</f>
        <v>SVT+PC | SVT+Maths</v>
      </c>
      <c r="J629" s="44"/>
      <c r="K629" t="s">
        <v>23</v>
      </c>
    </row>
    <row r="630" spans="1:11" s="52" customFormat="1" ht="34.200000000000003" customHeight="1" x14ac:dyDescent="0.3">
      <c r="A630" s="24"/>
      <c r="B630" s="36" t="s">
        <v>1126</v>
      </c>
      <c r="C630" s="77" t="s">
        <v>17</v>
      </c>
      <c r="D630" s="38"/>
      <c r="E630" s="39" t="str">
        <f>E$627</f>
        <v>SVT + Physique-Chimie ou SVT + Maths</v>
      </c>
      <c r="F630" s="40"/>
      <c r="G630" s="41" t="s">
        <v>1127</v>
      </c>
      <c r="H630" s="44"/>
      <c r="I630" s="44" t="str">
        <f>I$627</f>
        <v>SVT+PC | SVT+Maths</v>
      </c>
      <c r="J630" s="44"/>
      <c r="K630" t="s">
        <v>19</v>
      </c>
    </row>
    <row r="631" spans="1:11" s="52" customFormat="1" ht="159.6" customHeight="1" x14ac:dyDescent="0.3">
      <c r="A631" s="24"/>
      <c r="B631" s="36" t="s">
        <v>1128</v>
      </c>
      <c r="C631" s="77" t="s">
        <v>17</v>
      </c>
      <c r="D631" s="38"/>
      <c r="E631" s="39" t="s">
        <v>99</v>
      </c>
      <c r="F631" s="40"/>
      <c r="G631" s="41" t="s">
        <v>1129</v>
      </c>
      <c r="H631" s="44"/>
      <c r="I631" s="44" t="s">
        <v>101</v>
      </c>
      <c r="J631" s="44"/>
      <c r="K631" t="s">
        <v>23</v>
      </c>
    </row>
    <row r="632" spans="1:11" s="52" customFormat="1" ht="57" customHeight="1" x14ac:dyDescent="0.3">
      <c r="A632" s="24"/>
      <c r="B632" s="36" t="s">
        <v>1130</v>
      </c>
      <c r="C632" s="77" t="s">
        <v>17</v>
      </c>
      <c r="D632" s="38"/>
      <c r="E632" s="39" t="s">
        <v>13</v>
      </c>
      <c r="F632" s="40" t="s">
        <v>14</v>
      </c>
      <c r="G632" s="41" t="s">
        <v>1131</v>
      </c>
      <c r="H632" s="44"/>
      <c r="I632" s="44" t="s">
        <v>15</v>
      </c>
      <c r="J632" s="44"/>
      <c r="K632" t="s">
        <v>71</v>
      </c>
    </row>
    <row r="633" spans="1:11" s="52" customFormat="1" ht="45.6" customHeight="1" x14ac:dyDescent="0.3">
      <c r="A633" s="24"/>
      <c r="B633" s="36" t="s">
        <v>1132</v>
      </c>
      <c r="C633" s="77" t="s">
        <v>17</v>
      </c>
      <c r="D633" s="38"/>
      <c r="E633" s="39" t="s">
        <v>13</v>
      </c>
      <c r="F633" s="40" t="s">
        <v>14</v>
      </c>
      <c r="G633" s="41" t="s">
        <v>1133</v>
      </c>
      <c r="H633" s="44"/>
      <c r="I633" s="44" t="s">
        <v>15</v>
      </c>
      <c r="J633" s="44"/>
      <c r="K633" t="s">
        <v>19</v>
      </c>
    </row>
    <row r="634" spans="1:11" s="52" customFormat="1" ht="57" customHeight="1" x14ac:dyDescent="0.3">
      <c r="B634" s="36" t="s">
        <v>1134</v>
      </c>
      <c r="C634" s="77" t="s">
        <v>17</v>
      </c>
      <c r="D634" s="38"/>
      <c r="E634" s="39" t="s">
        <v>13</v>
      </c>
      <c r="F634" s="40" t="s">
        <v>14</v>
      </c>
      <c r="G634" s="41" t="s">
        <v>1135</v>
      </c>
      <c r="H634" s="44"/>
      <c r="I634" s="44" t="s">
        <v>15</v>
      </c>
      <c r="J634" s="44"/>
      <c r="K634" t="s">
        <v>23</v>
      </c>
    </row>
    <row r="635" spans="1:11" s="52" customFormat="1" ht="45.6" customHeight="1" x14ac:dyDescent="0.3">
      <c r="B635" s="36" t="s">
        <v>400</v>
      </c>
      <c r="C635" s="77" t="s">
        <v>17</v>
      </c>
      <c r="D635" s="38"/>
      <c r="E635" s="39" t="s">
        <v>13</v>
      </c>
      <c r="F635" s="40" t="s">
        <v>14</v>
      </c>
      <c r="G635" s="41" t="s">
        <v>401</v>
      </c>
      <c r="H635" s="44"/>
      <c r="I635" s="44" t="s">
        <v>15</v>
      </c>
      <c r="J635" s="44"/>
      <c r="K635" t="s">
        <v>19</v>
      </c>
    </row>
    <row r="636" spans="1:11" s="52" customFormat="1" ht="57" customHeight="1" x14ac:dyDescent="0.3">
      <c r="A636" s="24"/>
      <c r="B636" s="36" t="s">
        <v>1136</v>
      </c>
      <c r="C636" s="77" t="s">
        <v>17</v>
      </c>
      <c r="D636" s="38"/>
      <c r="E636" s="39" t="str">
        <f>E$627</f>
        <v>SVT + Physique-Chimie ou SVT + Maths</v>
      </c>
      <c r="F636" s="40" t="s">
        <v>14</v>
      </c>
      <c r="G636" s="41" t="s">
        <v>1137</v>
      </c>
      <c r="H636" s="44"/>
      <c r="I636" s="44" t="str">
        <f>I$627</f>
        <v>SVT+PC | SVT+Maths</v>
      </c>
      <c r="J636" s="44"/>
      <c r="K636" t="s">
        <v>19</v>
      </c>
    </row>
    <row r="637" spans="1:11" s="52" customFormat="1" ht="68.400000000000006" customHeight="1" x14ac:dyDescent="0.3">
      <c r="A637" s="24"/>
      <c r="B637" s="36" t="s">
        <v>1138</v>
      </c>
      <c r="C637" s="77" t="s">
        <v>17</v>
      </c>
      <c r="D637" s="38"/>
      <c r="E637" s="39" t="str">
        <f>E$627</f>
        <v>SVT + Physique-Chimie ou SVT + Maths</v>
      </c>
      <c r="F637" s="40" t="s">
        <v>14</v>
      </c>
      <c r="G637" s="41" t="s">
        <v>1139</v>
      </c>
      <c r="H637" s="44"/>
      <c r="I637" s="44" t="str">
        <f>I$627</f>
        <v>SVT+PC | SVT+Maths</v>
      </c>
      <c r="J637" s="44"/>
      <c r="K637" t="s">
        <v>19</v>
      </c>
    </row>
    <row r="638" spans="1:11" s="52" customFormat="1" ht="102.6" customHeight="1" x14ac:dyDescent="0.3">
      <c r="B638" s="36" t="s">
        <v>428</v>
      </c>
      <c r="C638" s="77" t="s">
        <v>17</v>
      </c>
      <c r="D638" s="38"/>
      <c r="E638" s="39" t="s">
        <v>40</v>
      </c>
      <c r="F638" s="40"/>
      <c r="G638" s="41" t="s">
        <v>1140</v>
      </c>
      <c r="H638" s="44"/>
      <c r="I638" s="44" t="s">
        <v>43</v>
      </c>
      <c r="J638" s="44"/>
      <c r="K638" t="s">
        <v>38</v>
      </c>
    </row>
    <row r="639" spans="1:11" s="52" customFormat="1" ht="57.6" customHeight="1" thickBot="1" x14ac:dyDescent="0.35">
      <c r="B639" s="33" t="s">
        <v>1141</v>
      </c>
      <c r="C639" s="32"/>
      <c r="D639" s="32"/>
      <c r="E639" s="34" t="s">
        <v>1142</v>
      </c>
      <c r="F639" s="35" t="s">
        <v>249</v>
      </c>
      <c r="G639" s="32"/>
      <c r="H639" s="43" t="s">
        <v>1143</v>
      </c>
      <c r="I639" s="43" t="s">
        <v>1144</v>
      </c>
      <c r="J639" s="43"/>
    </row>
    <row r="640" spans="1:11" s="52" customFormat="1" ht="57" customHeight="1" x14ac:dyDescent="0.3">
      <c r="A640" s="24"/>
      <c r="B640" s="36" t="s">
        <v>1145</v>
      </c>
      <c r="C640" s="77" t="s">
        <v>17</v>
      </c>
      <c r="D640" s="38"/>
      <c r="E640" s="39" t="s">
        <v>1146</v>
      </c>
      <c r="F640" s="40" t="s">
        <v>1147</v>
      </c>
      <c r="G640" s="41" t="s">
        <v>1148</v>
      </c>
      <c r="H640" s="44"/>
      <c r="I640" s="44" t="s">
        <v>1149</v>
      </c>
      <c r="J640" s="44"/>
      <c r="K640" t="s">
        <v>19</v>
      </c>
    </row>
    <row r="641" spans="1:12" s="52" customFormat="1" ht="57" customHeight="1" x14ac:dyDescent="0.3">
      <c r="A641" s="24"/>
      <c r="B641" s="36" t="s">
        <v>1150</v>
      </c>
      <c r="C641" s="77" t="s">
        <v>17</v>
      </c>
      <c r="D641" s="38"/>
      <c r="E641" s="39" t="str">
        <f>E$639</f>
        <v>SVT + Maths + HGGSP ou SVT + Maths + Physique-Chimie</v>
      </c>
      <c r="F641" s="40"/>
      <c r="G641" s="41" t="s">
        <v>1151</v>
      </c>
      <c r="H641" s="44"/>
      <c r="I641" s="44" t="str">
        <f>I$639</f>
        <v>SVT+Maths+HGGSP | SVT+Maths+PC</v>
      </c>
      <c r="J641" s="44"/>
      <c r="K641" t="s">
        <v>19</v>
      </c>
    </row>
    <row r="642" spans="1:12" s="52" customFormat="1" ht="6" customHeight="1" x14ac:dyDescent="0.3">
      <c r="B642" s="36" t="s">
        <v>1152</v>
      </c>
      <c r="C642" s="77" t="s">
        <v>17</v>
      </c>
      <c r="D642" s="38"/>
      <c r="E642" s="39" t="str">
        <f>E$639</f>
        <v>SVT + Maths + HGGSP ou SVT + Maths + Physique-Chimie</v>
      </c>
      <c r="F642" s="40"/>
      <c r="G642" s="41" t="s">
        <v>1153</v>
      </c>
      <c r="H642" s="44"/>
      <c r="I642" s="44" t="str">
        <f>I$639</f>
        <v>SVT+Maths+HGGSP | SVT+Maths+PC</v>
      </c>
      <c r="J642" s="44"/>
      <c r="K642" s="87" t="s">
        <v>19</v>
      </c>
      <c r="L642" s="87"/>
    </row>
    <row r="643" spans="1:12" ht="46.05" customHeight="1" x14ac:dyDescent="0.3">
      <c r="B643" s="36" t="s">
        <v>1154</v>
      </c>
      <c r="C643" s="77" t="s">
        <v>17</v>
      </c>
      <c r="D643" s="38"/>
      <c r="E643" s="39" t="s">
        <v>1146</v>
      </c>
      <c r="F643" s="40" t="s">
        <v>1147</v>
      </c>
      <c r="G643" s="41" t="s">
        <v>1155</v>
      </c>
      <c r="H643" s="44" t="s">
        <v>1156</v>
      </c>
      <c r="I643" s="44" t="s">
        <v>1149</v>
      </c>
      <c r="J643" s="44"/>
      <c r="K643" t="s">
        <v>23</v>
      </c>
    </row>
    <row r="644" spans="1:12" s="24" customFormat="1" ht="22.05" customHeight="1" x14ac:dyDescent="0.3">
      <c r="B644" s="36" t="s">
        <v>1157</v>
      </c>
      <c r="C644" s="77" t="s">
        <v>17</v>
      </c>
      <c r="D644" s="38"/>
      <c r="E644" s="39" t="s">
        <v>1146</v>
      </c>
      <c r="F644" s="40" t="s">
        <v>1147</v>
      </c>
      <c r="G644" s="41" t="s">
        <v>1158</v>
      </c>
      <c r="H644" s="44"/>
      <c r="I644" s="44" t="s">
        <v>1149</v>
      </c>
      <c r="J644" s="44"/>
      <c r="K644" t="s">
        <v>19</v>
      </c>
    </row>
    <row r="645" spans="1:12" s="24" customFormat="1" ht="30" customHeight="1" x14ac:dyDescent="0.3">
      <c r="B645" s="36" t="s">
        <v>1159</v>
      </c>
      <c r="C645" s="77" t="s">
        <v>17</v>
      </c>
      <c r="D645" s="38"/>
      <c r="E645" s="39" t="str">
        <f>E$639</f>
        <v>SVT + Maths + HGGSP ou SVT + Maths + Physique-Chimie</v>
      </c>
      <c r="F645" s="40"/>
      <c r="G645" s="41" t="s">
        <v>1160</v>
      </c>
      <c r="H645" s="44"/>
      <c r="I645" s="44" t="str">
        <f>I$639</f>
        <v>SVT+Maths+HGGSP | SVT+Maths+PC</v>
      </c>
      <c r="J645" s="44"/>
      <c r="K645" t="s">
        <v>19</v>
      </c>
    </row>
    <row r="646" spans="1:12" s="24" customFormat="1" ht="22.05" customHeight="1" x14ac:dyDescent="0.3">
      <c r="B646" s="36" t="s">
        <v>452</v>
      </c>
      <c r="C646" s="90" t="s">
        <v>17</v>
      </c>
      <c r="D646" s="38"/>
      <c r="E646" s="39" t="s">
        <v>442</v>
      </c>
      <c r="F646" s="40" t="s">
        <v>443</v>
      </c>
      <c r="G646" s="41" t="s">
        <v>453</v>
      </c>
      <c r="H646" s="44" t="s">
        <v>1161</v>
      </c>
      <c r="I646" s="44" t="s">
        <v>445</v>
      </c>
      <c r="J646" s="44"/>
      <c r="K646" t="s">
        <v>19</v>
      </c>
    </row>
    <row r="647" spans="1:12" s="52" customFormat="1" ht="22.05" customHeight="1" x14ac:dyDescent="0.3">
      <c r="A647" s="24"/>
      <c r="B647" s="88" t="s">
        <v>1452</v>
      </c>
      <c r="C647" s="92" t="s">
        <v>17</v>
      </c>
      <c r="D647" s="89"/>
      <c r="E647" s="39" t="str">
        <f t="shared" ref="E647:F649" si="31">E$639</f>
        <v>SVT + Maths + HGGSP ou SVT + Maths + Physique-Chimie</v>
      </c>
      <c r="F647" s="40" t="str">
        <f t="shared" si="31"/>
        <v>Maths conservée en Tle conseillée — sinon Maths compl. (option)</v>
      </c>
      <c r="G647" s="41" t="s">
        <v>1453</v>
      </c>
      <c r="H647" s="44" t="s">
        <v>1454</v>
      </c>
      <c r="I647" s="44" t="str">
        <f>I$639</f>
        <v>SVT+Maths+HGGSP | SVT+Maths+PC</v>
      </c>
      <c r="J647" s="44"/>
      <c r="K647" s="100" t="s">
        <v>19</v>
      </c>
      <c r="L647" s="24"/>
    </row>
    <row r="648" spans="1:12" s="52" customFormat="1" ht="22.05" customHeight="1" x14ac:dyDescent="0.3">
      <c r="A648" s="24"/>
      <c r="B648" s="88" t="s">
        <v>1428</v>
      </c>
      <c r="C648" s="118" t="s">
        <v>17</v>
      </c>
      <c r="D648" s="89"/>
      <c r="E648" s="39" t="str">
        <f t="shared" si="31"/>
        <v>SVT + Maths + HGGSP ou SVT + Maths + Physique-Chimie</v>
      </c>
      <c r="F648" s="40" t="str">
        <f t="shared" si="31"/>
        <v>Maths conservée en Tle conseillée — sinon Maths compl. (option)</v>
      </c>
      <c r="G648" s="41" t="s">
        <v>1429</v>
      </c>
      <c r="H648" s="44" t="s">
        <v>1430</v>
      </c>
      <c r="I648" s="44" t="str">
        <f>I$639</f>
        <v>SVT+Maths+HGGSP | SVT+Maths+PC</v>
      </c>
      <c r="J648" s="44"/>
      <c r="K648" s="100" t="s">
        <v>19</v>
      </c>
      <c r="L648" s="24"/>
    </row>
    <row r="649" spans="1:12" s="52" customFormat="1" ht="22.05" customHeight="1" x14ac:dyDescent="0.3">
      <c r="A649" s="24"/>
      <c r="B649" s="88" t="s">
        <v>1443</v>
      </c>
      <c r="C649" s="92" t="s">
        <v>17</v>
      </c>
      <c r="D649" s="89"/>
      <c r="E649" s="39" t="str">
        <f t="shared" si="31"/>
        <v>SVT + Maths + HGGSP ou SVT + Maths + Physique-Chimie</v>
      </c>
      <c r="F649" s="40" t="str">
        <f t="shared" si="31"/>
        <v>Maths conservée en Tle conseillée — sinon Maths compl. (option)</v>
      </c>
      <c r="G649" s="41" t="s">
        <v>1444</v>
      </c>
      <c r="H649" s="44" t="s">
        <v>1445</v>
      </c>
      <c r="I649" s="44" t="str">
        <f>I$639</f>
        <v>SVT+Maths+HGGSP | SVT+Maths+PC</v>
      </c>
      <c r="J649" s="44"/>
      <c r="K649" s="100" t="s">
        <v>19</v>
      </c>
      <c r="L649" s="24"/>
    </row>
    <row r="650" spans="1:12" ht="6" customHeight="1" x14ac:dyDescent="0.3">
      <c r="B650" s="36" t="s">
        <v>1162</v>
      </c>
      <c r="C650" s="112" t="s">
        <v>17</v>
      </c>
      <c r="D650" s="38"/>
      <c r="E650" s="39" t="s">
        <v>1163</v>
      </c>
      <c r="F650" s="40" t="s">
        <v>859</v>
      </c>
      <c r="G650" s="41" t="s">
        <v>1164</v>
      </c>
      <c r="H650" s="44" t="s">
        <v>1165</v>
      </c>
      <c r="I650" s="44" t="s">
        <v>620</v>
      </c>
      <c r="J650" s="44"/>
      <c r="K650" t="s">
        <v>23</v>
      </c>
    </row>
    <row r="651" spans="1:12" ht="48" customHeight="1" x14ac:dyDescent="0.3"/>
    <row r="652" spans="1:12" ht="22.05" customHeight="1" thickBot="1" x14ac:dyDescent="0.35">
      <c r="B652" s="33" t="s">
        <v>1166</v>
      </c>
      <c r="C652" s="32"/>
      <c r="D652" s="32"/>
      <c r="E652" s="34" t="s">
        <v>792</v>
      </c>
      <c r="F652" s="35"/>
      <c r="G652" s="32"/>
      <c r="H652" s="43" t="s">
        <v>1167</v>
      </c>
      <c r="I652" s="43" t="s">
        <v>795</v>
      </c>
      <c r="J652" s="43"/>
    </row>
    <row r="653" spans="1:12" ht="22.05" customHeight="1" x14ac:dyDescent="0.3">
      <c r="B653" s="36" t="s">
        <v>1168</v>
      </c>
      <c r="C653" s="90" t="s">
        <v>17</v>
      </c>
      <c r="D653" s="38"/>
      <c r="E653" s="39" t="str">
        <f>E$652</f>
        <v>SVT + Physique-Chimie</v>
      </c>
      <c r="F653" s="40"/>
      <c r="G653" s="41" t="s">
        <v>1169</v>
      </c>
      <c r="H653" s="44" t="s">
        <v>1170</v>
      </c>
      <c r="I653" s="44" t="str">
        <f>I$652</f>
        <v>SVT+PC</v>
      </c>
      <c r="J653" s="44"/>
      <c r="K653" t="s">
        <v>23</v>
      </c>
    </row>
    <row r="654" spans="1:12" s="52" customFormat="1" ht="22.05" customHeight="1" x14ac:dyDescent="0.3">
      <c r="A654"/>
      <c r="B654" s="88" t="s">
        <v>1431</v>
      </c>
      <c r="C654" s="92" t="s">
        <v>17</v>
      </c>
      <c r="D654" s="89"/>
      <c r="E654" s="39" t="str">
        <f>E$652</f>
        <v>SVT + Physique-Chimie</v>
      </c>
      <c r="F654" s="40"/>
      <c r="G654" s="41" t="s">
        <v>1432</v>
      </c>
      <c r="H654" s="44" t="s">
        <v>1433</v>
      </c>
      <c r="I654" s="44" t="str">
        <f>I$652</f>
        <v>SVT+PC</v>
      </c>
      <c r="J654" s="44"/>
      <c r="K654" s="100" t="s">
        <v>19</v>
      </c>
      <c r="L654"/>
    </row>
    <row r="655" spans="1:12" ht="22.05" customHeight="1" x14ac:dyDescent="0.3">
      <c r="B655" s="36" t="s">
        <v>1171</v>
      </c>
      <c r="C655" s="96" t="s">
        <v>17</v>
      </c>
      <c r="D655" s="38"/>
      <c r="E655" s="39" t="str">
        <f>E$652</f>
        <v>SVT + Physique-Chimie</v>
      </c>
      <c r="F655" s="40"/>
      <c r="G655" s="41" t="s">
        <v>1172</v>
      </c>
      <c r="H655" s="44" t="s">
        <v>1173</v>
      </c>
      <c r="I655" s="44" t="str">
        <f>I$652</f>
        <v>SVT+PC</v>
      </c>
      <c r="J655" s="44"/>
      <c r="K655" t="s">
        <v>23</v>
      </c>
    </row>
    <row r="656" spans="1:12" s="52" customFormat="1" ht="22.05" customHeight="1" x14ac:dyDescent="0.3">
      <c r="A656"/>
      <c r="B656" s="88" t="s">
        <v>1397</v>
      </c>
      <c r="C656" s="98" t="s">
        <v>17</v>
      </c>
      <c r="D656" s="89"/>
      <c r="E656" s="39" t="str">
        <f>E$652</f>
        <v>SVT + Physique-Chimie</v>
      </c>
      <c r="F656" s="40"/>
      <c r="G656" s="41" t="s">
        <v>1398</v>
      </c>
      <c r="H656" s="44" t="s">
        <v>1399</v>
      </c>
      <c r="I656" s="44" t="str">
        <f>I$652</f>
        <v>SVT+PC</v>
      </c>
      <c r="J656" s="44"/>
      <c r="K656" s="100" t="s">
        <v>23</v>
      </c>
      <c r="L656"/>
    </row>
    <row r="657" spans="1:12" ht="22.05" customHeight="1" x14ac:dyDescent="0.3"/>
    <row r="658" spans="1:12" ht="22.05" customHeight="1" thickBot="1" x14ac:dyDescent="0.35">
      <c r="B658" s="33" t="s">
        <v>1174</v>
      </c>
      <c r="C658" s="32"/>
      <c r="D658" s="32"/>
      <c r="E658" s="34" t="s">
        <v>792</v>
      </c>
      <c r="F658" s="35"/>
      <c r="G658" s="32"/>
      <c r="H658" s="43" t="s">
        <v>1175</v>
      </c>
      <c r="I658" s="43" t="s">
        <v>795</v>
      </c>
      <c r="J658" s="43"/>
    </row>
    <row r="659" spans="1:12" ht="22.05" customHeight="1" x14ac:dyDescent="0.3">
      <c r="B659" s="36" t="s">
        <v>1176</v>
      </c>
      <c r="C659" s="77" t="s">
        <v>17</v>
      </c>
      <c r="D659" s="38"/>
      <c r="E659" s="39" t="s">
        <v>1177</v>
      </c>
      <c r="F659" s="40"/>
      <c r="G659" s="41" t="s">
        <v>1178</v>
      </c>
      <c r="H659" s="44" t="s">
        <v>1179</v>
      </c>
      <c r="I659" s="44" t="s">
        <v>1180</v>
      </c>
      <c r="J659" s="44"/>
      <c r="K659" t="s">
        <v>38</v>
      </c>
    </row>
    <row r="660" spans="1:12" ht="6" customHeight="1" x14ac:dyDescent="0.3">
      <c r="B660" s="36" t="s">
        <v>1181</v>
      </c>
      <c r="C660" s="90" t="s">
        <v>17</v>
      </c>
      <c r="D660" s="38"/>
      <c r="E660" s="39" t="s">
        <v>1182</v>
      </c>
      <c r="F660" s="40" t="s">
        <v>1183</v>
      </c>
      <c r="G660" s="41" t="s">
        <v>1184</v>
      </c>
      <c r="H660" s="44" t="s">
        <v>1185</v>
      </c>
      <c r="I660" s="44" t="s">
        <v>822</v>
      </c>
      <c r="J660" s="44"/>
      <c r="K660" t="s">
        <v>19</v>
      </c>
    </row>
    <row r="661" spans="1:12" s="52" customFormat="1" ht="6" customHeight="1" x14ac:dyDescent="0.3">
      <c r="A661"/>
      <c r="B661" s="88" t="s">
        <v>1455</v>
      </c>
      <c r="C661" s="94" t="s">
        <v>17</v>
      </c>
      <c r="D661" s="89"/>
      <c r="E661" s="39" t="str">
        <f>E$658</f>
        <v>SVT + Physique-Chimie</v>
      </c>
      <c r="F661" s="40"/>
      <c r="G661" s="41" t="s">
        <v>1456</v>
      </c>
      <c r="H661" s="44" t="s">
        <v>1457</v>
      </c>
      <c r="I661" s="44" t="str">
        <f>I$658</f>
        <v>SVT+PC</v>
      </c>
      <c r="J661" s="44"/>
      <c r="K661" s="100" t="s">
        <v>19</v>
      </c>
      <c r="L661"/>
    </row>
    <row r="662" spans="1:12" s="52" customFormat="1" ht="6" customHeight="1" x14ac:dyDescent="0.3">
      <c r="A662"/>
      <c r="B662" s="88" t="s">
        <v>1551</v>
      </c>
      <c r="C662" s="94" t="s">
        <v>17</v>
      </c>
      <c r="D662" s="89"/>
      <c r="E662" s="39" t="str">
        <f>E$658</f>
        <v>SVT + Physique-Chimie</v>
      </c>
      <c r="F662" s="40"/>
      <c r="G662" s="41" t="s">
        <v>1552</v>
      </c>
      <c r="H662" s="44" t="s">
        <v>1553</v>
      </c>
      <c r="I662" s="44" t="str">
        <f>I$658</f>
        <v>SVT+PC</v>
      </c>
      <c r="J662" s="44"/>
      <c r="K662" s="100" t="s">
        <v>71</v>
      </c>
      <c r="L662"/>
    </row>
    <row r="663" spans="1:12" s="52" customFormat="1" ht="6" customHeight="1" x14ac:dyDescent="0.3">
      <c r="B663" s="88" t="s">
        <v>1620</v>
      </c>
      <c r="C663" s="161" t="s">
        <v>17</v>
      </c>
      <c r="D663" s="89"/>
      <c r="E663" s="39" t="str">
        <f>E$658</f>
        <v>SVT + Physique-Chimie</v>
      </c>
      <c r="F663" s="40"/>
      <c r="G663" s="41" t="s">
        <v>1621</v>
      </c>
      <c r="H663" s="44" t="s">
        <v>1622</v>
      </c>
      <c r="I663" s="44" t="str">
        <f>I$658</f>
        <v>SVT+PC</v>
      </c>
      <c r="J663" s="44"/>
      <c r="K663" s="100" t="s">
        <v>19</v>
      </c>
      <c r="L663"/>
    </row>
    <row r="664" spans="1:12" ht="48" customHeight="1" x14ac:dyDescent="0.3">
      <c r="B664" s="52"/>
      <c r="C664" s="52"/>
      <c r="D664" s="52"/>
      <c r="E664" s="52"/>
      <c r="F664" s="52"/>
      <c r="G664" s="52"/>
      <c r="H664" s="52"/>
      <c r="I664" s="52"/>
      <c r="J664" s="52"/>
    </row>
    <row r="665" spans="1:12" s="52" customFormat="1" ht="48" customHeight="1" thickBot="1" x14ac:dyDescent="0.35">
      <c r="A665"/>
      <c r="B665" s="33" t="s">
        <v>1259</v>
      </c>
      <c r="C665" s="32"/>
      <c r="D665" s="32"/>
      <c r="E665" s="34" t="s">
        <v>1260</v>
      </c>
      <c r="F665" s="35"/>
      <c r="G665" s="32"/>
      <c r="H665" s="43" t="s">
        <v>1261</v>
      </c>
      <c r="I665" s="43" t="s">
        <v>795</v>
      </c>
      <c r="J665" s="43"/>
      <c r="K665"/>
      <c r="L665"/>
    </row>
    <row r="666" spans="1:12" s="52" customFormat="1" ht="48" customHeight="1" x14ac:dyDescent="0.3">
      <c r="A666"/>
      <c r="B666" s="36" t="s">
        <v>1262</v>
      </c>
      <c r="C666" s="78" t="s">
        <v>17</v>
      </c>
      <c r="D666" s="38"/>
      <c r="E666" s="39" t="str">
        <f>E$665</f>
        <v>Voie université : SVT + Physique-Chimie</v>
      </c>
      <c r="F666" s="40"/>
      <c r="G666" s="41" t="s">
        <v>1263</v>
      </c>
      <c r="H666" s="44" t="str">
        <f>H$665</f>
        <v>Du BTSA Viticulture-Œnologie (Bac+2) au DNO, Diplôme national d'œnologue (Bac+5).</v>
      </c>
      <c r="I666" s="44" t="str">
        <f>I$665</f>
        <v>SVT+PC</v>
      </c>
      <c r="J666" s="44"/>
      <c r="K666" t="s">
        <v>19</v>
      </c>
      <c r="L666"/>
    </row>
    <row r="667" spans="1:12" s="52" customFormat="1" ht="48" customHeight="1" x14ac:dyDescent="0.3">
      <c r="A667"/>
      <c r="B667" s="36" t="s">
        <v>1264</v>
      </c>
      <c r="C667" s="78" t="s">
        <v>17</v>
      </c>
      <c r="D667" s="38"/>
      <c r="E667" s="39" t="str">
        <f>E$665</f>
        <v>Voie université : SVT + Physique-Chimie</v>
      </c>
      <c r="F667" s="40"/>
      <c r="G667" s="41" t="s">
        <v>1265</v>
      </c>
      <c r="H667" s="44" t="s">
        <v>1268</v>
      </c>
      <c r="I667" s="44" t="str">
        <f>I$665</f>
        <v>SVT+PC</v>
      </c>
      <c r="J667" s="44"/>
      <c r="K667" t="s">
        <v>23</v>
      </c>
      <c r="L667"/>
    </row>
    <row r="668" spans="1:12" s="52" customFormat="1" ht="48" customHeight="1" x14ac:dyDescent="0.3">
      <c r="A668"/>
      <c r="B668" s="36" t="s">
        <v>1266</v>
      </c>
      <c r="C668" s="78" t="s">
        <v>17</v>
      </c>
      <c r="D668" s="38"/>
      <c r="E668" s="39" t="s">
        <v>477</v>
      </c>
      <c r="F668" s="40"/>
      <c r="G668" s="41" t="s">
        <v>1267</v>
      </c>
      <c r="H668" s="44" t="s">
        <v>1269</v>
      </c>
      <c r="I668" s="44" t="s">
        <v>1270</v>
      </c>
      <c r="J668" s="44"/>
      <c r="K668" t="s">
        <v>38</v>
      </c>
      <c r="L668"/>
    </row>
    <row r="669" spans="1:12" s="52" customFormat="1" ht="48" customHeight="1" x14ac:dyDescent="0.3">
      <c r="A669"/>
      <c r="B669" s="88" t="s">
        <v>1275</v>
      </c>
      <c r="C669" s="99" t="s">
        <v>17</v>
      </c>
      <c r="D669" s="89"/>
      <c r="E669" s="39" t="str">
        <f>E$665</f>
        <v>Voie université : SVT + Physique-Chimie</v>
      </c>
      <c r="F669" s="40"/>
      <c r="G669" s="41" t="s">
        <v>1276</v>
      </c>
      <c r="H669" s="44" t="str">
        <f>H$665</f>
        <v>Du BTSA Viticulture-Œnologie (Bac+2) au DNO, Diplôme national d'œnologue (Bac+5).</v>
      </c>
      <c r="I669" s="44" t="str">
        <f>I$665</f>
        <v>SVT+PC</v>
      </c>
      <c r="J669" s="44"/>
      <c r="K669" t="s">
        <v>19</v>
      </c>
      <c r="L669"/>
    </row>
    <row r="670" spans="1:12" s="52" customFormat="1" ht="48" customHeight="1" x14ac:dyDescent="0.3">
      <c r="A670"/>
      <c r="B670" s="88" t="s">
        <v>1434</v>
      </c>
      <c r="C670" s="92" t="s">
        <v>17</v>
      </c>
      <c r="D670" s="89"/>
      <c r="E670" s="39" t="str">
        <f>E$665</f>
        <v>Voie université : SVT + Physique-Chimie</v>
      </c>
      <c r="F670" s="40"/>
      <c r="G670" s="41" t="s">
        <v>1435</v>
      </c>
      <c r="H670" s="44" t="s">
        <v>1436</v>
      </c>
      <c r="I670" s="44" t="str">
        <f>I$665</f>
        <v>SVT+PC</v>
      </c>
      <c r="J670" s="44"/>
      <c r="K670" s="100" t="s">
        <v>19</v>
      </c>
      <c r="L670"/>
    </row>
    <row r="671" spans="1:12" s="52" customFormat="1" ht="48" customHeight="1" x14ac:dyDescent="0.3">
      <c r="A671"/>
      <c r="B671" s="88" t="s">
        <v>1277</v>
      </c>
      <c r="C671" s="123" t="s">
        <v>17</v>
      </c>
      <c r="D671" s="89"/>
      <c r="E671" s="39" t="s">
        <v>442</v>
      </c>
      <c r="F671" s="40" t="s">
        <v>443</v>
      </c>
      <c r="G671" s="41" t="s">
        <v>1278</v>
      </c>
      <c r="H671" s="44" t="s">
        <v>1279</v>
      </c>
      <c r="I671" s="44" t="s">
        <v>445</v>
      </c>
      <c r="J671" s="44"/>
      <c r="K671" s="97" t="s">
        <v>23</v>
      </c>
      <c r="L671"/>
    </row>
    <row r="672" spans="1:12" s="52" customFormat="1" ht="48" customHeight="1" x14ac:dyDescent="0.3">
      <c r="A672"/>
      <c r="B672" s="88" t="s">
        <v>1280</v>
      </c>
      <c r="C672" s="99" t="s">
        <v>17</v>
      </c>
      <c r="D672" s="89"/>
      <c r="E672" s="39" t="s">
        <v>477</v>
      </c>
      <c r="F672" s="40"/>
      <c r="G672" s="41" t="s">
        <v>1281</v>
      </c>
      <c r="H672" s="44" t="s">
        <v>1282</v>
      </c>
      <c r="I672" s="44" t="s">
        <v>1270</v>
      </c>
      <c r="J672" s="44"/>
      <c r="K672" s="97" t="s">
        <v>38</v>
      </c>
      <c r="L672"/>
    </row>
    <row r="673" spans="1:12" s="52" customFormat="1" ht="48" customHeight="1" x14ac:dyDescent="0.3">
      <c r="A673"/>
      <c r="B673" s="88" t="s">
        <v>1283</v>
      </c>
      <c r="C673" s="99" t="s">
        <v>17</v>
      </c>
      <c r="D673" s="89"/>
      <c r="E673" s="39" t="s">
        <v>442</v>
      </c>
      <c r="F673" s="40" t="s">
        <v>443</v>
      </c>
      <c r="G673" s="41" t="s">
        <v>1284</v>
      </c>
      <c r="H673" s="44" t="s">
        <v>1285</v>
      </c>
      <c r="I673" s="44" t="s">
        <v>445</v>
      </c>
      <c r="J673" s="44"/>
      <c r="K673" s="97" t="s">
        <v>19</v>
      </c>
      <c r="L673"/>
    </row>
    <row r="674" spans="1:12" s="52" customFormat="1" ht="48" customHeight="1" x14ac:dyDescent="0.3">
      <c r="A674"/>
      <c r="B674" s="88" t="s">
        <v>1326</v>
      </c>
      <c r="C674" s="98" t="s">
        <v>17</v>
      </c>
      <c r="D674" s="89"/>
      <c r="E674" s="39" t="s">
        <v>442</v>
      </c>
      <c r="F674" s="40" t="s">
        <v>443</v>
      </c>
      <c r="G674" s="41" t="s">
        <v>1327</v>
      </c>
      <c r="H674" s="44" t="s">
        <v>1328</v>
      </c>
      <c r="I674" s="44" t="s">
        <v>445</v>
      </c>
      <c r="J674" s="44"/>
      <c r="K674" s="97" t="s">
        <v>19</v>
      </c>
      <c r="L674"/>
    </row>
    <row r="675" spans="1:12" s="52" customFormat="1" ht="48" customHeight="1" x14ac:dyDescent="0.3">
      <c r="A675"/>
      <c r="B675"/>
      <c r="C675"/>
      <c r="D675"/>
      <c r="E675"/>
      <c r="F675"/>
      <c r="G675"/>
      <c r="H675"/>
      <c r="I675"/>
      <c r="J675"/>
      <c r="K675"/>
      <c r="L675"/>
    </row>
    <row r="676" spans="1:12" s="52" customFormat="1" ht="48" customHeight="1" thickBot="1" x14ac:dyDescent="0.35">
      <c r="A676"/>
      <c r="B676" s="33" t="s">
        <v>1329</v>
      </c>
      <c r="C676" s="32"/>
      <c r="D676" s="32"/>
      <c r="E676" s="34" t="s">
        <v>13</v>
      </c>
      <c r="F676" s="35"/>
      <c r="G676" s="32"/>
      <c r="H676" s="43" t="s">
        <v>1330</v>
      </c>
      <c r="I676" s="43" t="s">
        <v>15</v>
      </c>
      <c r="J676" s="43"/>
      <c r="K676"/>
      <c r="L676"/>
    </row>
    <row r="677" spans="1:12" s="52" customFormat="1" ht="48" customHeight="1" x14ac:dyDescent="0.3">
      <c r="B677" s="36" t="s">
        <v>371</v>
      </c>
      <c r="C677" s="37" t="s">
        <v>17</v>
      </c>
      <c r="D677" s="38"/>
      <c r="E677" s="39" t="s">
        <v>13</v>
      </c>
      <c r="F677" s="40"/>
      <c r="G677" s="41" t="s">
        <v>372</v>
      </c>
      <c r="H677" s="44"/>
      <c r="I677" s="44" t="s">
        <v>15</v>
      </c>
      <c r="J677" s="44"/>
      <c r="K677" t="s">
        <v>19</v>
      </c>
    </row>
    <row r="678" spans="1:12" s="52" customFormat="1" ht="48" customHeight="1" x14ac:dyDescent="0.3">
      <c r="B678" s="36" t="s">
        <v>369</v>
      </c>
      <c r="C678" s="37" t="s">
        <v>17</v>
      </c>
      <c r="D678" s="38"/>
      <c r="E678" s="39" t="s">
        <v>13</v>
      </c>
      <c r="F678" s="40"/>
      <c r="G678" s="41" t="s">
        <v>370</v>
      </c>
      <c r="H678" s="44"/>
      <c r="I678" s="44" t="s">
        <v>15</v>
      </c>
      <c r="J678" s="44"/>
      <c r="K678" t="s">
        <v>19</v>
      </c>
    </row>
    <row r="679" spans="1:12" s="52" customFormat="1" ht="48" customHeight="1" x14ac:dyDescent="0.3">
      <c r="A679"/>
      <c r="B679" s="36" t="s">
        <v>1018</v>
      </c>
      <c r="C679" s="77" t="s">
        <v>17</v>
      </c>
      <c r="D679" s="38"/>
      <c r="E679" s="39" t="s">
        <v>13</v>
      </c>
      <c r="F679" s="40"/>
      <c r="G679" s="41" t="s">
        <v>1019</v>
      </c>
      <c r="H679" s="44"/>
      <c r="I679" s="44" t="s">
        <v>15</v>
      </c>
      <c r="J679" s="44"/>
      <c r="K679" s="87" t="s">
        <v>38</v>
      </c>
      <c r="L679" s="87"/>
    </row>
    <row r="680" spans="1:12" s="52" customFormat="1" ht="48" customHeight="1" x14ac:dyDescent="0.3">
      <c r="B680" s="36" t="s">
        <v>1014</v>
      </c>
      <c r="C680" s="37" t="s">
        <v>17</v>
      </c>
      <c r="D680" s="38"/>
      <c r="E680" s="39" t="s">
        <v>13</v>
      </c>
      <c r="F680" s="40"/>
      <c r="G680" s="41" t="s">
        <v>1015</v>
      </c>
      <c r="H680" s="44"/>
      <c r="I680" s="44" t="s">
        <v>15</v>
      </c>
      <c r="J680" s="44"/>
      <c r="K680" t="s">
        <v>19</v>
      </c>
    </row>
    <row r="681" spans="1:12" s="52" customFormat="1" ht="48" customHeight="1" x14ac:dyDescent="0.3">
      <c r="A681"/>
      <c r="B681" s="36" t="s">
        <v>990</v>
      </c>
      <c r="C681" s="101" t="s">
        <v>17</v>
      </c>
      <c r="D681" s="38"/>
      <c r="E681" s="39" t="s">
        <v>13</v>
      </c>
      <c r="F681" s="40"/>
      <c r="G681" s="41" t="s">
        <v>991</v>
      </c>
      <c r="H681" s="44"/>
      <c r="I681" s="44" t="s">
        <v>15</v>
      </c>
      <c r="J681" s="44"/>
      <c r="K681" t="s">
        <v>23</v>
      </c>
      <c r="L681"/>
    </row>
    <row r="682" spans="1:12" s="52" customFormat="1" ht="48" customHeight="1" x14ac:dyDescent="0.3">
      <c r="A682"/>
      <c r="B682" s="88" t="s">
        <v>1463</v>
      </c>
      <c r="C682" s="94" t="s">
        <v>17</v>
      </c>
      <c r="D682" s="89"/>
      <c r="E682" s="39" t="str">
        <f>E$676</f>
        <v>SVT + Physique-Chimie ou SVT + Maths</v>
      </c>
      <c r="F682" s="40"/>
      <c r="G682" s="41" t="s">
        <v>1464</v>
      </c>
      <c r="H682" s="44" t="s">
        <v>1465</v>
      </c>
      <c r="I682" s="44" t="str">
        <f>I$676</f>
        <v>SVT+PC | SVT+Maths</v>
      </c>
      <c r="J682" s="44"/>
      <c r="K682" s="100" t="s">
        <v>71</v>
      </c>
      <c r="L682"/>
    </row>
    <row r="683" spans="1:12" s="52" customFormat="1" ht="48" customHeight="1" x14ac:dyDescent="0.3">
      <c r="A683"/>
      <c r="B683" s="88" t="s">
        <v>1466</v>
      </c>
      <c r="C683" s="94" t="s">
        <v>17</v>
      </c>
      <c r="D683" s="89"/>
      <c r="E683" s="39" t="str">
        <f>E$676</f>
        <v>SVT + Physique-Chimie ou SVT + Maths</v>
      </c>
      <c r="F683" s="40"/>
      <c r="G683" s="41" t="s">
        <v>1467</v>
      </c>
      <c r="H683" s="44" t="s">
        <v>1468</v>
      </c>
      <c r="I683" s="44" t="str">
        <f>I$676</f>
        <v>SVT+PC | SVT+Maths</v>
      </c>
      <c r="J683" s="44"/>
      <c r="K683" s="100" t="s">
        <v>71</v>
      </c>
      <c r="L683"/>
    </row>
    <row r="684" spans="1:12" s="52" customFormat="1" ht="48" customHeight="1" x14ac:dyDescent="0.3">
      <c r="A684"/>
      <c r="B684" s="88" t="s">
        <v>1469</v>
      </c>
      <c r="C684" s="92" t="s">
        <v>17</v>
      </c>
      <c r="D684" s="89"/>
      <c r="E684" s="39" t="str">
        <f>E$676</f>
        <v>SVT + Physique-Chimie ou SVT + Maths</v>
      </c>
      <c r="F684" s="40"/>
      <c r="G684" s="41" t="s">
        <v>1470</v>
      </c>
      <c r="H684" s="44" t="s">
        <v>1471</v>
      </c>
      <c r="I684" s="44" t="str">
        <f>I$676</f>
        <v>SVT+PC | SVT+Maths</v>
      </c>
      <c r="J684" s="44"/>
      <c r="K684" s="100" t="s">
        <v>23</v>
      </c>
      <c r="L684"/>
    </row>
    <row r="685" spans="1:12" s="52" customFormat="1" ht="48" customHeight="1" x14ac:dyDescent="0.3">
      <c r="A685"/>
      <c r="B685" s="36" t="s">
        <v>827</v>
      </c>
      <c r="C685" s="91" t="s">
        <v>17</v>
      </c>
      <c r="D685" s="38"/>
      <c r="E685" s="39" t="s">
        <v>13</v>
      </c>
      <c r="F685" s="40"/>
      <c r="G685" s="41" t="s">
        <v>989</v>
      </c>
      <c r="H685" s="44"/>
      <c r="I685" s="44" t="s">
        <v>15</v>
      </c>
      <c r="J685" s="44"/>
      <c r="K685" t="s">
        <v>23</v>
      </c>
      <c r="L685"/>
    </row>
    <row r="686" spans="1:12" s="52" customFormat="1" ht="48" customHeight="1" x14ac:dyDescent="0.3">
      <c r="A686"/>
      <c r="B686" s="36" t="s">
        <v>987</v>
      </c>
      <c r="C686" s="37" t="s">
        <v>17</v>
      </c>
      <c r="D686" s="70" t="s">
        <v>17</v>
      </c>
      <c r="E686" s="39" t="s">
        <v>13</v>
      </c>
      <c r="F686" s="40"/>
      <c r="G686" s="41" t="s">
        <v>988</v>
      </c>
      <c r="H686" s="44"/>
      <c r="I686" s="44" t="s">
        <v>15</v>
      </c>
      <c r="J686" s="44"/>
      <c r="K686" t="s">
        <v>23</v>
      </c>
      <c r="L686"/>
    </row>
    <row r="687" spans="1:12" s="52" customFormat="1" ht="48" customHeight="1" x14ac:dyDescent="0.3"/>
    <row r="688" spans="1:12" s="52" customFormat="1" ht="48" customHeight="1" thickBot="1" x14ac:dyDescent="0.35">
      <c r="A688"/>
      <c r="B688" s="33" t="s">
        <v>1331</v>
      </c>
      <c r="C688" s="32"/>
      <c r="D688" s="32"/>
      <c r="E688" s="34" t="s">
        <v>13</v>
      </c>
      <c r="F688" s="35"/>
      <c r="G688" s="32"/>
      <c r="H688" s="43" t="s">
        <v>1332</v>
      </c>
      <c r="I688" s="43" t="s">
        <v>15</v>
      </c>
      <c r="J688" s="43"/>
      <c r="K688"/>
      <c r="L688"/>
    </row>
    <row r="689" spans="1:12" s="52" customFormat="1" ht="48" customHeight="1" x14ac:dyDescent="0.3">
      <c r="B689" s="36" t="s">
        <v>1034</v>
      </c>
      <c r="C689" s="77" t="s">
        <v>17</v>
      </c>
      <c r="D689" s="38"/>
      <c r="E689" s="39" t="s">
        <v>13</v>
      </c>
      <c r="F689" s="40"/>
      <c r="G689" s="41" t="s">
        <v>1035</v>
      </c>
      <c r="H689" s="44"/>
      <c r="I689" s="44" t="s">
        <v>15</v>
      </c>
      <c r="J689" s="44"/>
      <c r="K689" t="s">
        <v>23</v>
      </c>
    </row>
    <row r="690" spans="1:12" s="52" customFormat="1" ht="48" customHeight="1" x14ac:dyDescent="0.3">
      <c r="B690" s="36" t="s">
        <v>1024</v>
      </c>
      <c r="C690" s="77" t="s">
        <v>17</v>
      </c>
      <c r="D690" s="38"/>
      <c r="E690" s="39" t="s">
        <v>13</v>
      </c>
      <c r="F690" s="40"/>
      <c r="G690" s="41" t="s">
        <v>1025</v>
      </c>
      <c r="H690" s="44"/>
      <c r="I690" s="44" t="s">
        <v>15</v>
      </c>
      <c r="J690" s="44"/>
      <c r="K690" t="s">
        <v>23</v>
      </c>
    </row>
    <row r="691" spans="1:12" s="52" customFormat="1" ht="48" customHeight="1" x14ac:dyDescent="0.3">
      <c r="A691"/>
      <c r="B691" s="36" t="s">
        <v>1016</v>
      </c>
      <c r="C691" s="77" t="s">
        <v>17</v>
      </c>
      <c r="D691" s="38"/>
      <c r="E691" s="39" t="s">
        <v>13</v>
      </c>
      <c r="F691" s="40"/>
      <c r="G691" s="41" t="s">
        <v>1017</v>
      </c>
      <c r="H691" s="44"/>
      <c r="I691" s="44" t="s">
        <v>15</v>
      </c>
      <c r="J691" s="44"/>
      <c r="K691" t="s">
        <v>23</v>
      </c>
      <c r="L691"/>
    </row>
    <row r="692" spans="1:12" s="52" customFormat="1" ht="48" customHeight="1" x14ac:dyDescent="0.3">
      <c r="A692"/>
      <c r="B692" s="36" t="s">
        <v>992</v>
      </c>
      <c r="C692" s="37" t="s">
        <v>17</v>
      </c>
      <c r="D692" s="38"/>
      <c r="E692" s="39" t="s">
        <v>13</v>
      </c>
      <c r="F692" s="40"/>
      <c r="G692" s="41" t="s">
        <v>993</v>
      </c>
      <c r="H692" s="44"/>
      <c r="I692" s="44" t="s">
        <v>15</v>
      </c>
      <c r="J692" s="44"/>
      <c r="K692" t="s">
        <v>23</v>
      </c>
      <c r="L692"/>
    </row>
    <row r="693" spans="1:12" s="52" customFormat="1" ht="48" customHeight="1" x14ac:dyDescent="0.3">
      <c r="A693"/>
      <c r="B693" s="36" t="s">
        <v>994</v>
      </c>
      <c r="C693" s="37" t="s">
        <v>17</v>
      </c>
      <c r="D693" s="38"/>
      <c r="E693" s="39" t="s">
        <v>13</v>
      </c>
      <c r="F693" s="40"/>
      <c r="G693" s="41" t="s">
        <v>995</v>
      </c>
      <c r="H693" s="44"/>
      <c r="I693" s="44" t="s">
        <v>15</v>
      </c>
      <c r="J693" s="44"/>
      <c r="K693" t="s">
        <v>23</v>
      </c>
      <c r="L693"/>
    </row>
    <row r="694" spans="1:12" s="52" customFormat="1" ht="48" customHeight="1" x14ac:dyDescent="0.3">
      <c r="A694"/>
      <c r="B694" s="36" t="s">
        <v>802</v>
      </c>
      <c r="C694" s="37" t="s">
        <v>17</v>
      </c>
      <c r="D694" s="103"/>
      <c r="E694" s="39" t="s">
        <v>13</v>
      </c>
      <c r="F694" s="40"/>
      <c r="G694" s="41" t="s">
        <v>803</v>
      </c>
      <c r="H694" s="44"/>
      <c r="I694" s="44" t="s">
        <v>15</v>
      </c>
      <c r="J694" s="44"/>
      <c r="K694" t="s">
        <v>71</v>
      </c>
      <c r="L694"/>
    </row>
    <row r="695" spans="1:12" s="52" customFormat="1" ht="48" customHeight="1" x14ac:dyDescent="0.3">
      <c r="B695" s="36" t="s">
        <v>998</v>
      </c>
      <c r="C695" s="64" t="s">
        <v>17</v>
      </c>
      <c r="D695" s="126" t="s">
        <v>17</v>
      </c>
      <c r="E695" s="65" t="s">
        <v>13</v>
      </c>
      <c r="F695" s="40"/>
      <c r="G695" s="41" t="s">
        <v>999</v>
      </c>
      <c r="H695" s="44"/>
      <c r="I695" s="44" t="s">
        <v>15</v>
      </c>
      <c r="J695" s="44"/>
      <c r="K695" t="s">
        <v>19</v>
      </c>
    </row>
    <row r="696" spans="1:12" s="52" customFormat="1" ht="48" customHeight="1" x14ac:dyDescent="0.3">
      <c r="B696" s="36" t="s">
        <v>1012</v>
      </c>
      <c r="C696" s="37" t="s">
        <v>17</v>
      </c>
      <c r="D696" s="67"/>
      <c r="E696" s="39" t="s">
        <v>13</v>
      </c>
      <c r="F696" s="40"/>
      <c r="G696" s="41" t="s">
        <v>1013</v>
      </c>
      <c r="H696" s="44"/>
      <c r="I696" s="44" t="s">
        <v>15</v>
      </c>
      <c r="J696" s="44"/>
      <c r="K696" t="s">
        <v>23</v>
      </c>
    </row>
    <row r="697" spans="1:12" s="52" customFormat="1" ht="48" customHeight="1" x14ac:dyDescent="0.3">
      <c r="B697" s="36" t="s">
        <v>1026</v>
      </c>
      <c r="C697" s="77" t="s">
        <v>17</v>
      </c>
      <c r="D697" s="38"/>
      <c r="E697" s="39" t="s">
        <v>13</v>
      </c>
      <c r="F697" s="40"/>
      <c r="G697" s="41" t="s">
        <v>1027</v>
      </c>
      <c r="H697" s="44"/>
      <c r="I697" s="44" t="s">
        <v>15</v>
      </c>
      <c r="J697" s="44"/>
      <c r="K697" t="s">
        <v>23</v>
      </c>
    </row>
    <row r="698" spans="1:12" s="52" customFormat="1" ht="48" customHeight="1" x14ac:dyDescent="0.3">
      <c r="A698"/>
      <c r="B698" s="36" t="s">
        <v>1030</v>
      </c>
      <c r="C698" s="77" t="s">
        <v>17</v>
      </c>
      <c r="D698" s="38"/>
      <c r="E698" s="39" t="s">
        <v>13</v>
      </c>
      <c r="F698" s="40"/>
      <c r="G698" s="41" t="s">
        <v>1031</v>
      </c>
      <c r="H698" s="44"/>
      <c r="I698" s="44" t="s">
        <v>15</v>
      </c>
      <c r="J698" s="44"/>
      <c r="K698" t="s">
        <v>23</v>
      </c>
      <c r="L698"/>
    </row>
    <row r="699" spans="1:12" s="52" customFormat="1" ht="48" customHeight="1" x14ac:dyDescent="0.3">
      <c r="A699"/>
      <c r="B699" s="36" t="s">
        <v>1032</v>
      </c>
      <c r="C699" s="77" t="s">
        <v>17</v>
      </c>
      <c r="D699" s="38"/>
      <c r="E699" s="39" t="s">
        <v>13</v>
      </c>
      <c r="F699" s="40"/>
      <c r="G699" s="41" t="s">
        <v>1033</v>
      </c>
      <c r="H699" s="44"/>
      <c r="I699" s="44" t="s">
        <v>15</v>
      </c>
      <c r="J699" s="44"/>
      <c r="K699" t="s">
        <v>23</v>
      </c>
      <c r="L699"/>
    </row>
    <row r="700" spans="1:12" s="52" customFormat="1" ht="48" customHeight="1" x14ac:dyDescent="0.3">
      <c r="B700" s="36" t="s">
        <v>1028</v>
      </c>
      <c r="C700" s="77" t="s">
        <v>17</v>
      </c>
      <c r="D700" s="38"/>
      <c r="E700" s="39" t="s">
        <v>13</v>
      </c>
      <c r="F700" s="40"/>
      <c r="G700" s="41" t="s">
        <v>1029</v>
      </c>
      <c r="H700" s="44"/>
      <c r="I700" s="44" t="s">
        <v>15</v>
      </c>
      <c r="J700" s="44"/>
      <c r="K700" t="s">
        <v>23</v>
      </c>
    </row>
    <row r="701" spans="1:12" s="52" customFormat="1" ht="48" customHeight="1" x14ac:dyDescent="0.3">
      <c r="B701" s="36" t="s">
        <v>1022</v>
      </c>
      <c r="C701" s="77" t="s">
        <v>17</v>
      </c>
      <c r="D701" s="38"/>
      <c r="E701" s="39" t="s">
        <v>13</v>
      </c>
      <c r="F701" s="40"/>
      <c r="G701" s="41" t="s">
        <v>1023</v>
      </c>
      <c r="H701" s="44"/>
      <c r="I701" s="44" t="s">
        <v>15</v>
      </c>
      <c r="J701" s="44"/>
      <c r="K701" t="s">
        <v>23</v>
      </c>
    </row>
    <row r="702" spans="1:12" s="52" customFormat="1" ht="48" customHeight="1" x14ac:dyDescent="0.3">
      <c r="B702" s="36" t="s">
        <v>1020</v>
      </c>
      <c r="C702" s="77" t="s">
        <v>17</v>
      </c>
      <c r="D702" s="38"/>
      <c r="E702" s="39" t="s">
        <v>13</v>
      </c>
      <c r="F702" s="40"/>
      <c r="G702" s="41" t="s">
        <v>1021</v>
      </c>
      <c r="H702" s="44"/>
      <c r="I702" s="44" t="s">
        <v>15</v>
      </c>
      <c r="J702" s="44"/>
      <c r="K702" t="s">
        <v>23</v>
      </c>
    </row>
    <row r="703" spans="1:12" s="52" customFormat="1" ht="48" customHeight="1" x14ac:dyDescent="0.3">
      <c r="B703" s="36" t="s">
        <v>1036</v>
      </c>
      <c r="C703" s="90" t="s">
        <v>17</v>
      </c>
      <c r="D703" s="38"/>
      <c r="E703" s="39" t="s">
        <v>13</v>
      </c>
      <c r="F703" s="40"/>
      <c r="G703" s="41" t="s">
        <v>1037</v>
      </c>
      <c r="H703" s="44"/>
      <c r="I703" s="44" t="s">
        <v>15</v>
      </c>
      <c r="J703" s="44"/>
      <c r="K703" t="s">
        <v>38</v>
      </c>
    </row>
    <row r="704" spans="1:12" s="52" customFormat="1" ht="48" customHeight="1" x14ac:dyDescent="0.3">
      <c r="B704" s="88" t="s">
        <v>1475</v>
      </c>
      <c r="C704" s="92" t="s">
        <v>17</v>
      </c>
      <c r="D704" s="89"/>
      <c r="E704" s="39" t="str">
        <f>E$688</f>
        <v>SVT + Physique-Chimie ou SVT + Maths</v>
      </c>
      <c r="F704" s="40"/>
      <c r="G704" s="41" t="s">
        <v>1476</v>
      </c>
      <c r="H704" s="44" t="s">
        <v>1477</v>
      </c>
      <c r="I704" s="44" t="str">
        <f>I$688</f>
        <v>SVT+PC | SVT+Maths</v>
      </c>
      <c r="J704" s="44"/>
      <c r="K704" s="100" t="s">
        <v>19</v>
      </c>
    </row>
    <row r="705" spans="1:12" s="52" customFormat="1" ht="48" customHeight="1" x14ac:dyDescent="0.3"/>
    <row r="706" spans="1:12" s="52" customFormat="1" ht="48" customHeight="1" thickBot="1" x14ac:dyDescent="0.35">
      <c r="A706"/>
      <c r="B706" s="33" t="s">
        <v>1333</v>
      </c>
      <c r="C706" s="32"/>
      <c r="D706" s="32"/>
      <c r="E706" s="34" t="s">
        <v>13</v>
      </c>
      <c r="F706" s="35"/>
      <c r="G706" s="32"/>
      <c r="H706" s="43" t="s">
        <v>1334</v>
      </c>
      <c r="I706" s="43" t="s">
        <v>15</v>
      </c>
      <c r="J706" s="43"/>
      <c r="K706"/>
      <c r="L706"/>
    </row>
    <row r="707" spans="1:12" s="52" customFormat="1" ht="48" customHeight="1" x14ac:dyDescent="0.3">
      <c r="A707"/>
      <c r="B707" s="36" t="s">
        <v>996</v>
      </c>
      <c r="C707" s="37" t="s">
        <v>17</v>
      </c>
      <c r="D707" s="38"/>
      <c r="E707" s="39" t="s">
        <v>13</v>
      </c>
      <c r="F707" s="40"/>
      <c r="G707" s="41" t="s">
        <v>997</v>
      </c>
      <c r="H707" s="44"/>
      <c r="I707" s="44" t="s">
        <v>15</v>
      </c>
      <c r="J707" s="44"/>
      <c r="K707" t="s">
        <v>38</v>
      </c>
      <c r="L707"/>
    </row>
    <row r="708" spans="1:12" s="52" customFormat="1" ht="48" customHeight="1" x14ac:dyDescent="0.3">
      <c r="B708" s="36" t="s">
        <v>1002</v>
      </c>
      <c r="C708" s="37" t="s">
        <v>17</v>
      </c>
      <c r="D708" s="38"/>
      <c r="E708" s="39" t="s">
        <v>13</v>
      </c>
      <c r="F708" s="40"/>
      <c r="G708" s="41" t="s">
        <v>1003</v>
      </c>
      <c r="H708" s="44"/>
      <c r="I708" s="44" t="s">
        <v>15</v>
      </c>
      <c r="J708" s="44"/>
      <c r="K708" t="s">
        <v>23</v>
      </c>
    </row>
    <row r="709" spans="1:12" s="52" customFormat="1" ht="48" customHeight="1" x14ac:dyDescent="0.3">
      <c r="B709" s="36" t="s">
        <v>1000</v>
      </c>
      <c r="C709" s="37" t="s">
        <v>17</v>
      </c>
      <c r="D709" s="38"/>
      <c r="E709" s="39" t="s">
        <v>13</v>
      </c>
      <c r="F709" s="40"/>
      <c r="G709" s="41" t="s">
        <v>1001</v>
      </c>
      <c r="H709" s="44"/>
      <c r="I709" s="44" t="s">
        <v>15</v>
      </c>
      <c r="J709" s="44"/>
      <c r="K709" t="s">
        <v>23</v>
      </c>
    </row>
    <row r="710" spans="1:12" s="52" customFormat="1" ht="48" customHeight="1" x14ac:dyDescent="0.3">
      <c r="B710" s="36" t="s">
        <v>1004</v>
      </c>
      <c r="C710" s="37" t="s">
        <v>17</v>
      </c>
      <c r="D710" s="38"/>
      <c r="E710" s="39" t="s">
        <v>13</v>
      </c>
      <c r="F710" s="40"/>
      <c r="G710" s="41" t="s">
        <v>1005</v>
      </c>
      <c r="H710" s="44"/>
      <c r="I710" s="44" t="s">
        <v>15</v>
      </c>
      <c r="J710" s="44"/>
      <c r="K710" t="s">
        <v>19</v>
      </c>
    </row>
    <row r="711" spans="1:12" s="52" customFormat="1" ht="48" customHeight="1" x14ac:dyDescent="0.3">
      <c r="B711" s="36" t="s">
        <v>1006</v>
      </c>
      <c r="C711" s="37" t="s">
        <v>17</v>
      </c>
      <c r="D711" s="38"/>
      <c r="E711" s="39" t="s">
        <v>13</v>
      </c>
      <c r="F711" s="40"/>
      <c r="G711" s="41" t="s">
        <v>1007</v>
      </c>
      <c r="H711" s="44"/>
      <c r="I711" s="44" t="s">
        <v>15</v>
      </c>
      <c r="J711" s="44"/>
      <c r="K711" t="s">
        <v>19</v>
      </c>
    </row>
    <row r="712" spans="1:12" s="52" customFormat="1" ht="48" customHeight="1" x14ac:dyDescent="0.3">
      <c r="B712" s="36" t="s">
        <v>1010</v>
      </c>
      <c r="C712" s="37" t="s">
        <v>17</v>
      </c>
      <c r="D712" s="38"/>
      <c r="E712" s="39" t="s">
        <v>13</v>
      </c>
      <c r="F712" s="40"/>
      <c r="G712" s="41" t="s">
        <v>1011</v>
      </c>
      <c r="H712" s="44"/>
      <c r="I712" s="44" t="s">
        <v>15</v>
      </c>
      <c r="J712" s="44"/>
      <c r="K712" s="87" t="s">
        <v>23</v>
      </c>
      <c r="L712" s="87"/>
    </row>
    <row r="713" spans="1:12" s="52" customFormat="1" ht="48" customHeight="1" x14ac:dyDescent="0.3">
      <c r="B713" s="36" t="s">
        <v>1008</v>
      </c>
      <c r="C713" s="37" t="s">
        <v>17</v>
      </c>
      <c r="D713" s="38"/>
      <c r="E713" s="39" t="s">
        <v>13</v>
      </c>
      <c r="F713" s="40"/>
      <c r="G713" s="41" t="s">
        <v>1009</v>
      </c>
      <c r="H713" s="44"/>
      <c r="I713" s="44" t="s">
        <v>15</v>
      </c>
      <c r="J713" s="44"/>
      <c r="K713" t="s">
        <v>19</v>
      </c>
    </row>
    <row r="714" spans="1:12" s="52" customFormat="1" ht="48" customHeight="1" x14ac:dyDescent="0.3"/>
    <row r="715" spans="1:12" s="52" customFormat="1" ht="48" customHeight="1" thickBot="1" x14ac:dyDescent="0.35">
      <c r="A715"/>
      <c r="B715" s="33" t="s">
        <v>1335</v>
      </c>
      <c r="C715" s="32"/>
      <c r="D715" s="32"/>
      <c r="E715" s="34" t="s">
        <v>13</v>
      </c>
      <c r="F715" s="35" t="s">
        <v>14</v>
      </c>
      <c r="G715" s="32"/>
      <c r="H715" s="43" t="s">
        <v>1336</v>
      </c>
      <c r="I715" s="43" t="s">
        <v>15</v>
      </c>
      <c r="J715" s="43"/>
      <c r="K715"/>
      <c r="L715"/>
    </row>
    <row r="716" spans="1:12" s="52" customFormat="1" ht="48" customHeight="1" x14ac:dyDescent="0.3">
      <c r="A716"/>
      <c r="B716" s="36" t="s">
        <v>923</v>
      </c>
      <c r="C716" s="37" t="s">
        <v>17</v>
      </c>
      <c r="D716" s="38"/>
      <c r="E716" s="39" t="s">
        <v>13</v>
      </c>
      <c r="F716" s="40" t="s">
        <v>14</v>
      </c>
      <c r="G716" s="41" t="s">
        <v>924</v>
      </c>
      <c r="H716" s="44"/>
      <c r="I716" s="44" t="s">
        <v>15</v>
      </c>
      <c r="J716" s="44"/>
      <c r="K716" t="s">
        <v>71</v>
      </c>
      <c r="L716"/>
    </row>
    <row r="717" spans="1:12" s="52" customFormat="1" ht="48" customHeight="1" x14ac:dyDescent="0.3">
      <c r="A717"/>
      <c r="B717" s="36" t="s">
        <v>886</v>
      </c>
      <c r="C717" s="101" t="s">
        <v>17</v>
      </c>
      <c r="D717" s="38"/>
      <c r="E717" s="39" t="s">
        <v>13</v>
      </c>
      <c r="F717" s="40" t="s">
        <v>14</v>
      </c>
      <c r="G717" s="41" t="s">
        <v>887</v>
      </c>
      <c r="H717" s="44"/>
      <c r="I717" s="44" t="s">
        <v>15</v>
      </c>
      <c r="J717" s="44"/>
      <c r="K717" t="s">
        <v>71</v>
      </c>
      <c r="L717"/>
    </row>
    <row r="718" spans="1:12" s="52" customFormat="1" ht="48" customHeight="1" x14ac:dyDescent="0.3">
      <c r="A718"/>
      <c r="B718" s="88" t="s">
        <v>1463</v>
      </c>
      <c r="C718" s="92" t="s">
        <v>17</v>
      </c>
      <c r="D718" s="89"/>
      <c r="E718" s="39" t="str">
        <f>E$715</f>
        <v>SVT + Physique-Chimie ou SVT + Maths</v>
      </c>
      <c r="F718" s="40" t="str">
        <f>F$715</f>
        <v>Maths compl. (option Tle) si Maths non conservée</v>
      </c>
      <c r="G718" s="41" t="s">
        <v>1464</v>
      </c>
      <c r="H718" s="44" t="s">
        <v>1465</v>
      </c>
      <c r="I718" s="44" t="str">
        <f>I$715</f>
        <v>SVT+PC | SVT+Maths</v>
      </c>
      <c r="J718" s="44"/>
      <c r="K718" s="100" t="s">
        <v>71</v>
      </c>
      <c r="L718"/>
    </row>
    <row r="719" spans="1:12" s="52" customFormat="1" ht="48" customHeight="1" x14ac:dyDescent="0.3">
      <c r="A719"/>
      <c r="B719" s="36" t="s">
        <v>888</v>
      </c>
      <c r="C719" s="91" t="s">
        <v>17</v>
      </c>
      <c r="D719" s="38"/>
      <c r="E719" s="39" t="s">
        <v>13</v>
      </c>
      <c r="F719" s="40" t="s">
        <v>14</v>
      </c>
      <c r="G719" s="41" t="s">
        <v>889</v>
      </c>
      <c r="H719" s="44"/>
      <c r="I719" s="44" t="s">
        <v>15</v>
      </c>
      <c r="J719" s="44"/>
      <c r="K719" t="s">
        <v>71</v>
      </c>
      <c r="L719"/>
    </row>
    <row r="720" spans="1:12" s="52" customFormat="1" ht="48" customHeight="1" x14ac:dyDescent="0.3">
      <c r="A720"/>
      <c r="B720" s="36" t="s">
        <v>884</v>
      </c>
      <c r="C720" s="37" t="s">
        <v>17</v>
      </c>
      <c r="D720" s="38"/>
      <c r="E720" s="39" t="s">
        <v>13</v>
      </c>
      <c r="F720" s="40" t="s">
        <v>14</v>
      </c>
      <c r="G720" s="41" t="s">
        <v>885</v>
      </c>
      <c r="H720" s="44"/>
      <c r="I720" s="44" t="s">
        <v>15</v>
      </c>
      <c r="J720" s="44"/>
      <c r="K720" t="s">
        <v>71</v>
      </c>
      <c r="L720"/>
    </row>
    <row r="721" spans="1:12" s="52" customFormat="1" ht="48" customHeight="1" x14ac:dyDescent="0.3">
      <c r="A721"/>
      <c r="B721" s="36" t="s">
        <v>892</v>
      </c>
      <c r="C721" s="37" t="s">
        <v>17</v>
      </c>
      <c r="D721" s="38"/>
      <c r="E721" s="39" t="s">
        <v>13</v>
      </c>
      <c r="F721" s="40" t="s">
        <v>14</v>
      </c>
      <c r="G721" s="41" t="s">
        <v>893</v>
      </c>
      <c r="H721" s="44"/>
      <c r="I721" s="44" t="s">
        <v>15</v>
      </c>
      <c r="J721" s="44"/>
      <c r="K721" t="s">
        <v>71</v>
      </c>
      <c r="L721"/>
    </row>
    <row r="722" spans="1:12" s="52" customFormat="1" ht="48" customHeight="1" x14ac:dyDescent="0.3">
      <c r="A722"/>
      <c r="B722" s="36" t="s">
        <v>814</v>
      </c>
      <c r="C722" s="101" t="s">
        <v>17</v>
      </c>
      <c r="D722" s="38"/>
      <c r="E722" s="39" t="s">
        <v>13</v>
      </c>
      <c r="F722" s="40" t="s">
        <v>14</v>
      </c>
      <c r="G722" s="41" t="s">
        <v>815</v>
      </c>
      <c r="H722" s="44"/>
      <c r="I722" s="44" t="s">
        <v>15</v>
      </c>
      <c r="J722" s="44"/>
      <c r="K722" t="s">
        <v>71</v>
      </c>
      <c r="L722"/>
    </row>
    <row r="723" spans="1:12" s="52" customFormat="1" ht="48" customHeight="1" x14ac:dyDescent="0.3">
      <c r="A723"/>
      <c r="B723" s="88" t="s">
        <v>1461</v>
      </c>
      <c r="C723" s="92" t="s">
        <v>17</v>
      </c>
      <c r="D723" s="89"/>
      <c r="E723" s="39" t="str">
        <f>E$715</f>
        <v>SVT + Physique-Chimie ou SVT + Maths</v>
      </c>
      <c r="F723" s="40" t="str">
        <f>F$715</f>
        <v>Maths compl. (option Tle) si Maths non conservée</v>
      </c>
      <c r="G723" s="41" t="s">
        <v>1462</v>
      </c>
      <c r="H723" s="44"/>
      <c r="I723" s="44" t="str">
        <f>I$715</f>
        <v>SVT+PC | SVT+Maths</v>
      </c>
      <c r="J723" s="44"/>
      <c r="K723" s="100" t="s">
        <v>71</v>
      </c>
      <c r="L723"/>
    </row>
    <row r="724" spans="1:12" s="52" customFormat="1" ht="48" customHeight="1" x14ac:dyDescent="0.3">
      <c r="A724"/>
      <c r="B724" s="36" t="s">
        <v>890</v>
      </c>
      <c r="C724" s="91" t="s">
        <v>17</v>
      </c>
      <c r="D724" s="38"/>
      <c r="E724" s="39" t="s">
        <v>13</v>
      </c>
      <c r="F724" s="40" t="s">
        <v>14</v>
      </c>
      <c r="G724" s="41" t="s">
        <v>891</v>
      </c>
      <c r="H724" s="44"/>
      <c r="I724" s="44" t="s">
        <v>15</v>
      </c>
      <c r="J724" s="44"/>
      <c r="K724" t="s">
        <v>71</v>
      </c>
      <c r="L724"/>
    </row>
    <row r="725" spans="1:12" s="52" customFormat="1" ht="48" customHeight="1" x14ac:dyDescent="0.3">
      <c r="A725"/>
      <c r="B725" s="36" t="s">
        <v>894</v>
      </c>
      <c r="C725" s="37" t="s">
        <v>17</v>
      </c>
      <c r="D725" s="38"/>
      <c r="E725" s="39" t="s">
        <v>13</v>
      </c>
      <c r="F725" s="40" t="s">
        <v>14</v>
      </c>
      <c r="G725" s="41" t="s">
        <v>895</v>
      </c>
      <c r="H725" s="44"/>
      <c r="I725" s="44" t="s">
        <v>15</v>
      </c>
      <c r="J725" s="44"/>
      <c r="K725" t="s">
        <v>71</v>
      </c>
      <c r="L725"/>
    </row>
    <row r="726" spans="1:12" s="52" customFormat="1" ht="48" customHeight="1" x14ac:dyDescent="0.3">
      <c r="A726"/>
      <c r="B726" s="36" t="s">
        <v>896</v>
      </c>
      <c r="C726" s="68" t="s">
        <v>17</v>
      </c>
      <c r="D726" s="38"/>
      <c r="E726" s="39" t="s">
        <v>13</v>
      </c>
      <c r="F726" s="40" t="s">
        <v>14</v>
      </c>
      <c r="G726" s="41" t="s">
        <v>897</v>
      </c>
      <c r="H726" s="44"/>
      <c r="I726" s="44" t="s">
        <v>15</v>
      </c>
      <c r="J726" s="44"/>
      <c r="K726" t="s">
        <v>71</v>
      </c>
      <c r="L726"/>
    </row>
    <row r="727" spans="1:12" s="52" customFormat="1" ht="48" customHeight="1" x14ac:dyDescent="0.3">
      <c r="A727"/>
      <c r="B727" s="36" t="s">
        <v>679</v>
      </c>
      <c r="C727" s="68" t="s">
        <v>17</v>
      </c>
      <c r="D727" s="38"/>
      <c r="E727" s="39" t="s">
        <v>13</v>
      </c>
      <c r="F727" s="40" t="s">
        <v>14</v>
      </c>
      <c r="G727" s="41" t="s">
        <v>680</v>
      </c>
      <c r="H727" s="44"/>
      <c r="I727" s="44" t="s">
        <v>15</v>
      </c>
      <c r="J727" s="44"/>
      <c r="K727" t="s">
        <v>71</v>
      </c>
      <c r="L727"/>
    </row>
    <row r="728" spans="1:12" s="52" customFormat="1" ht="48" customHeight="1" x14ac:dyDescent="0.3">
      <c r="A728"/>
      <c r="B728" s="36" t="s">
        <v>685</v>
      </c>
      <c r="C728" s="77" t="s">
        <v>17</v>
      </c>
      <c r="D728" s="38"/>
      <c r="E728" s="39" t="s">
        <v>13</v>
      </c>
      <c r="F728" s="40" t="s">
        <v>14</v>
      </c>
      <c r="G728" s="41" t="s">
        <v>686</v>
      </c>
      <c r="H728" s="44"/>
      <c r="I728" s="44" t="s">
        <v>15</v>
      </c>
      <c r="J728" s="44"/>
      <c r="K728" s="87" t="s">
        <v>71</v>
      </c>
      <c r="L728" s="87"/>
    </row>
    <row r="729" spans="1:12" s="52" customFormat="1" ht="48" customHeight="1" x14ac:dyDescent="0.3">
      <c r="A729"/>
      <c r="B729" s="36" t="s">
        <v>925</v>
      </c>
      <c r="C729" s="37" t="s">
        <v>17</v>
      </c>
      <c r="D729" s="76" t="s">
        <v>17</v>
      </c>
      <c r="E729" s="39" t="s">
        <v>13</v>
      </c>
      <c r="F729" s="40" t="s">
        <v>14</v>
      </c>
      <c r="G729" s="41" t="s">
        <v>926</v>
      </c>
      <c r="H729" s="44"/>
      <c r="I729" s="44" t="s">
        <v>15</v>
      </c>
      <c r="J729" s="44"/>
      <c r="K729" s="87" t="s">
        <v>71</v>
      </c>
      <c r="L729" s="87"/>
    </row>
    <row r="730" spans="1:12" s="52" customFormat="1" ht="48" customHeight="1" x14ac:dyDescent="0.3">
      <c r="A730"/>
      <c r="B730" s="36" t="s">
        <v>773</v>
      </c>
      <c r="C730" s="37" t="s">
        <v>17</v>
      </c>
      <c r="D730" s="38"/>
      <c r="E730" s="39" t="s">
        <v>13</v>
      </c>
      <c r="F730" s="40" t="s">
        <v>14</v>
      </c>
      <c r="G730" s="41" t="s">
        <v>774</v>
      </c>
      <c r="H730" s="44"/>
      <c r="I730" s="44" t="s">
        <v>15</v>
      </c>
      <c r="J730" s="44"/>
      <c r="K730" t="s">
        <v>19</v>
      </c>
      <c r="L730"/>
    </row>
    <row r="731" spans="1:12" s="52" customFormat="1" ht="48" customHeight="1" x14ac:dyDescent="0.3">
      <c r="A731"/>
      <c r="B731" s="36" t="s">
        <v>901</v>
      </c>
      <c r="C731" s="37" t="s">
        <v>17</v>
      </c>
      <c r="D731" s="42" t="s">
        <v>17</v>
      </c>
      <c r="E731" s="39" t="s">
        <v>13</v>
      </c>
      <c r="F731" s="40" t="s">
        <v>14</v>
      </c>
      <c r="G731" s="41" t="s">
        <v>902</v>
      </c>
      <c r="H731" s="44"/>
      <c r="I731" s="44" t="s">
        <v>15</v>
      </c>
      <c r="J731" s="44"/>
      <c r="K731" t="s">
        <v>71</v>
      </c>
      <c r="L731"/>
    </row>
    <row r="732" spans="1:12" s="52" customFormat="1" ht="48" customHeight="1" x14ac:dyDescent="0.3">
      <c r="A732"/>
      <c r="B732" s="36" t="s">
        <v>917</v>
      </c>
      <c r="C732" s="37" t="s">
        <v>17</v>
      </c>
      <c r="D732" s="38"/>
      <c r="E732" s="39" t="s">
        <v>13</v>
      </c>
      <c r="F732" s="40" t="s">
        <v>14</v>
      </c>
      <c r="G732" s="41" t="s">
        <v>918</v>
      </c>
      <c r="H732" s="44"/>
      <c r="I732" s="44" t="s">
        <v>15</v>
      </c>
      <c r="J732" s="44"/>
      <c r="K732" t="s">
        <v>19</v>
      </c>
      <c r="L732"/>
    </row>
    <row r="733" spans="1:12" s="52" customFormat="1" ht="48" customHeight="1" x14ac:dyDescent="0.3"/>
    <row r="734" spans="1:12" s="52" customFormat="1" ht="48" customHeight="1" thickBot="1" x14ac:dyDescent="0.35">
      <c r="A734"/>
      <c r="B734" s="33" t="s">
        <v>1337</v>
      </c>
      <c r="C734" s="32"/>
      <c r="D734" s="32"/>
      <c r="E734" s="34" t="s">
        <v>13</v>
      </c>
      <c r="F734" s="35" t="s">
        <v>14</v>
      </c>
      <c r="G734" s="32"/>
      <c r="H734" s="43" t="s">
        <v>1338</v>
      </c>
      <c r="I734" s="43" t="s">
        <v>15</v>
      </c>
      <c r="J734" s="43"/>
      <c r="K734"/>
      <c r="L734"/>
    </row>
    <row r="735" spans="1:12" s="52" customFormat="1" ht="48" customHeight="1" x14ac:dyDescent="0.3">
      <c r="A735"/>
      <c r="B735" s="36" t="s">
        <v>944</v>
      </c>
      <c r="C735" s="77" t="s">
        <v>17</v>
      </c>
      <c r="D735" s="38"/>
      <c r="E735" s="39" t="s">
        <v>13</v>
      </c>
      <c r="F735" s="40" t="s">
        <v>14</v>
      </c>
      <c r="G735" s="41" t="s">
        <v>945</v>
      </c>
      <c r="H735" s="44"/>
      <c r="I735" s="44" t="s">
        <v>15</v>
      </c>
      <c r="J735" s="44"/>
      <c r="K735" t="s">
        <v>23</v>
      </c>
      <c r="L735"/>
    </row>
    <row r="736" spans="1:12" s="52" customFormat="1" ht="48" customHeight="1" x14ac:dyDescent="0.3">
      <c r="A736"/>
      <c r="B736" s="36" t="s">
        <v>913</v>
      </c>
      <c r="C736" s="37" t="s">
        <v>17</v>
      </c>
      <c r="D736" s="42" t="s">
        <v>17</v>
      </c>
      <c r="E736" s="39" t="s">
        <v>13</v>
      </c>
      <c r="F736" s="40" t="s">
        <v>14</v>
      </c>
      <c r="G736" s="41" t="s">
        <v>914</v>
      </c>
      <c r="H736" s="44"/>
      <c r="I736" s="44" t="s">
        <v>15</v>
      </c>
      <c r="J736" s="44"/>
      <c r="K736" t="s">
        <v>23</v>
      </c>
      <c r="L736"/>
    </row>
    <row r="737" spans="1:12" s="52" customFormat="1" ht="48" customHeight="1" x14ac:dyDescent="0.3">
      <c r="A737"/>
      <c r="B737" s="36" t="s">
        <v>915</v>
      </c>
      <c r="C737" s="54" t="s">
        <v>17</v>
      </c>
      <c r="D737" s="38"/>
      <c r="E737" s="39" t="s">
        <v>13</v>
      </c>
      <c r="F737" s="40" t="s">
        <v>14</v>
      </c>
      <c r="G737" s="41" t="s">
        <v>916</v>
      </c>
      <c r="H737" s="44"/>
      <c r="I737" s="44" t="s">
        <v>15</v>
      </c>
      <c r="J737" s="44"/>
      <c r="K737" t="s">
        <v>23</v>
      </c>
      <c r="L737"/>
    </row>
    <row r="738" spans="1:12" s="52" customFormat="1" ht="48" customHeight="1" x14ac:dyDescent="0.3">
      <c r="A738"/>
      <c r="B738" s="36" t="s">
        <v>911</v>
      </c>
      <c r="C738" s="37" t="s">
        <v>17</v>
      </c>
      <c r="D738" s="70" t="s">
        <v>17</v>
      </c>
      <c r="E738" s="39" t="s">
        <v>13</v>
      </c>
      <c r="F738" s="40" t="s">
        <v>14</v>
      </c>
      <c r="G738" s="41" t="s">
        <v>912</v>
      </c>
      <c r="H738" s="44"/>
      <c r="I738" s="44" t="s">
        <v>15</v>
      </c>
      <c r="J738" s="44"/>
      <c r="K738" t="s">
        <v>23</v>
      </c>
      <c r="L738"/>
    </row>
    <row r="739" spans="1:12" s="52" customFormat="1" ht="48" customHeight="1" x14ac:dyDescent="0.3">
      <c r="A739"/>
      <c r="B739" s="36" t="s">
        <v>864</v>
      </c>
      <c r="C739" s="37" t="s">
        <v>17</v>
      </c>
      <c r="D739" s="42" t="s">
        <v>17</v>
      </c>
      <c r="E739" s="39" t="s">
        <v>13</v>
      </c>
      <c r="F739" s="40" t="s">
        <v>14</v>
      </c>
      <c r="G739" s="41" t="s">
        <v>865</v>
      </c>
      <c r="H739" s="44"/>
      <c r="I739" s="44" t="s">
        <v>15</v>
      </c>
      <c r="J739" s="44"/>
      <c r="K739" t="s">
        <v>71</v>
      </c>
      <c r="L739"/>
    </row>
    <row r="740" spans="1:12" s="52" customFormat="1" ht="48" customHeight="1" x14ac:dyDescent="0.3">
      <c r="A740"/>
      <c r="B740" s="36" t="s">
        <v>872</v>
      </c>
      <c r="C740" s="37" t="s">
        <v>17</v>
      </c>
      <c r="D740" s="38"/>
      <c r="E740" s="39" t="s">
        <v>13</v>
      </c>
      <c r="F740" s="40" t="s">
        <v>14</v>
      </c>
      <c r="G740" s="41" t="s">
        <v>873</v>
      </c>
      <c r="H740" s="44"/>
      <c r="I740" s="44" t="s">
        <v>15</v>
      </c>
      <c r="J740" s="44"/>
      <c r="K740" t="s">
        <v>19</v>
      </c>
      <c r="L740"/>
    </row>
    <row r="741" spans="1:12" s="52" customFormat="1" ht="48" customHeight="1" x14ac:dyDescent="0.3">
      <c r="B741" s="36" t="s">
        <v>866</v>
      </c>
      <c r="C741" s="37" t="s">
        <v>17</v>
      </c>
      <c r="D741" s="38"/>
      <c r="E741" s="39" t="s">
        <v>13</v>
      </c>
      <c r="F741" s="40" t="s">
        <v>14</v>
      </c>
      <c r="G741" s="41" t="s">
        <v>867</v>
      </c>
      <c r="H741" s="44"/>
      <c r="I741" s="44" t="s">
        <v>15</v>
      </c>
      <c r="J741" s="44"/>
      <c r="K741" t="s">
        <v>23</v>
      </c>
    </row>
    <row r="742" spans="1:12" s="52" customFormat="1" ht="48" customHeight="1" x14ac:dyDescent="0.3">
      <c r="A742"/>
      <c r="B742" s="36" t="s">
        <v>876</v>
      </c>
      <c r="C742" s="37" t="s">
        <v>17</v>
      </c>
      <c r="D742" s="38"/>
      <c r="E742" s="39" t="s">
        <v>13</v>
      </c>
      <c r="F742" s="40" t="s">
        <v>14</v>
      </c>
      <c r="G742" s="41" t="s">
        <v>877</v>
      </c>
      <c r="H742" s="44"/>
      <c r="I742" s="44" t="s">
        <v>15</v>
      </c>
      <c r="J742" s="44"/>
      <c r="K742" t="s">
        <v>23</v>
      </c>
      <c r="L742"/>
    </row>
    <row r="743" spans="1:12" s="52" customFormat="1" ht="48" customHeight="1" x14ac:dyDescent="0.3">
      <c r="A743"/>
      <c r="B743" s="36" t="s">
        <v>874</v>
      </c>
      <c r="C743" s="77" t="s">
        <v>17</v>
      </c>
      <c r="D743" s="38"/>
      <c r="E743" s="39" t="s">
        <v>13</v>
      </c>
      <c r="F743" s="40" t="s">
        <v>14</v>
      </c>
      <c r="G743" s="41" t="s">
        <v>875</v>
      </c>
      <c r="H743" s="44"/>
      <c r="I743" s="44" t="s">
        <v>15</v>
      </c>
      <c r="J743" s="44"/>
      <c r="K743" t="s">
        <v>23</v>
      </c>
      <c r="L743"/>
    </row>
    <row r="744" spans="1:12" s="52" customFormat="1" ht="48" customHeight="1" x14ac:dyDescent="0.3">
      <c r="B744" s="36" t="s">
        <v>880</v>
      </c>
      <c r="C744" s="37" t="s">
        <v>17</v>
      </c>
      <c r="D744" s="38"/>
      <c r="E744" s="39" t="s">
        <v>13</v>
      </c>
      <c r="F744" s="40" t="s">
        <v>14</v>
      </c>
      <c r="G744" s="41" t="s">
        <v>881</v>
      </c>
      <c r="H744" s="44"/>
      <c r="I744" s="44" t="s">
        <v>15</v>
      </c>
      <c r="J744" s="44"/>
      <c r="K744" t="s">
        <v>23</v>
      </c>
    </row>
    <row r="745" spans="1:12" s="52" customFormat="1" ht="48" customHeight="1" x14ac:dyDescent="0.3">
      <c r="A745"/>
      <c r="B745" s="36" t="s">
        <v>878</v>
      </c>
      <c r="C745" s="54" t="s">
        <v>17</v>
      </c>
      <c r="D745" s="38"/>
      <c r="E745" s="39" t="s">
        <v>13</v>
      </c>
      <c r="F745" s="40" t="s">
        <v>14</v>
      </c>
      <c r="G745" s="41" t="s">
        <v>879</v>
      </c>
      <c r="H745" s="44"/>
      <c r="I745" s="44" t="s">
        <v>15</v>
      </c>
      <c r="J745" s="44"/>
      <c r="K745" t="s">
        <v>23</v>
      </c>
      <c r="L745"/>
    </row>
    <row r="746" spans="1:12" s="52" customFormat="1" ht="48" customHeight="1" x14ac:dyDescent="0.3">
      <c r="A746"/>
      <c r="B746" s="36" t="s">
        <v>868</v>
      </c>
      <c r="C746" s="37" t="s">
        <v>17</v>
      </c>
      <c r="D746" s="38"/>
      <c r="E746" s="39" t="s">
        <v>13</v>
      </c>
      <c r="F746" s="40" t="s">
        <v>14</v>
      </c>
      <c r="G746" s="41" t="s">
        <v>869</v>
      </c>
      <c r="H746" s="44"/>
      <c r="I746" s="44" t="s">
        <v>15</v>
      </c>
      <c r="J746" s="44"/>
      <c r="K746" t="s">
        <v>23</v>
      </c>
      <c r="L746"/>
    </row>
    <row r="747" spans="1:12" s="52" customFormat="1" ht="48" customHeight="1" x14ac:dyDescent="0.3">
      <c r="A747"/>
      <c r="B747" s="36" t="s">
        <v>870</v>
      </c>
      <c r="C747" s="37" t="s">
        <v>17</v>
      </c>
      <c r="D747" s="38"/>
      <c r="E747" s="39" t="s">
        <v>13</v>
      </c>
      <c r="F747" s="40" t="s">
        <v>14</v>
      </c>
      <c r="G747" s="41" t="s">
        <v>871</v>
      </c>
      <c r="H747" s="44"/>
      <c r="I747" s="44" t="s">
        <v>15</v>
      </c>
      <c r="J747" s="44"/>
      <c r="K747" t="s">
        <v>23</v>
      </c>
      <c r="L747"/>
    </row>
    <row r="748" spans="1:12" s="52" customFormat="1" ht="48" customHeight="1" x14ac:dyDescent="0.3">
      <c r="B748" s="36" t="s">
        <v>882</v>
      </c>
      <c r="C748" s="77" t="s">
        <v>17</v>
      </c>
      <c r="D748" s="38"/>
      <c r="E748" s="39" t="s">
        <v>13</v>
      </c>
      <c r="F748" s="40" t="s">
        <v>14</v>
      </c>
      <c r="G748" s="41" t="s">
        <v>883</v>
      </c>
      <c r="H748" s="44"/>
      <c r="I748" s="44" t="s">
        <v>15</v>
      </c>
      <c r="J748" s="44"/>
      <c r="K748" t="s">
        <v>23</v>
      </c>
    </row>
    <row r="749" spans="1:12" s="52" customFormat="1" ht="48" customHeight="1" x14ac:dyDescent="0.3">
      <c r="A749"/>
      <c r="B749" s="36" t="s">
        <v>905</v>
      </c>
      <c r="C749" s="37" t="s">
        <v>17</v>
      </c>
      <c r="D749" s="42" t="s">
        <v>17</v>
      </c>
      <c r="E749" s="39" t="s">
        <v>13</v>
      </c>
      <c r="F749" s="40" t="s">
        <v>14</v>
      </c>
      <c r="G749" s="41" t="s">
        <v>906</v>
      </c>
      <c r="H749" s="44"/>
      <c r="I749" s="44" t="s">
        <v>15</v>
      </c>
      <c r="J749" s="44"/>
      <c r="K749" t="s">
        <v>23</v>
      </c>
      <c r="L749"/>
    </row>
    <row r="750" spans="1:12" s="52" customFormat="1" ht="48" customHeight="1" x14ac:dyDescent="0.3">
      <c r="B750" s="36" t="s">
        <v>903</v>
      </c>
      <c r="C750" s="37" t="s">
        <v>17</v>
      </c>
      <c r="D750" s="42" t="s">
        <v>17</v>
      </c>
      <c r="E750" s="39" t="s">
        <v>13</v>
      </c>
      <c r="F750" s="40" t="s">
        <v>14</v>
      </c>
      <c r="G750" s="41" t="s">
        <v>904</v>
      </c>
      <c r="H750" s="44"/>
      <c r="I750" s="44" t="s">
        <v>15</v>
      </c>
      <c r="J750" s="44"/>
      <c r="K750" t="s">
        <v>71</v>
      </c>
    </row>
    <row r="751" spans="1:12" s="52" customFormat="1" ht="48" customHeight="1" x14ac:dyDescent="0.3">
      <c r="A751"/>
      <c r="B751" s="36" t="s">
        <v>907</v>
      </c>
      <c r="C751" s="37" t="s">
        <v>17</v>
      </c>
      <c r="D751" s="38"/>
      <c r="E751" s="39" t="s">
        <v>13</v>
      </c>
      <c r="F751" s="40" t="s">
        <v>14</v>
      </c>
      <c r="G751" s="41" t="s">
        <v>908</v>
      </c>
      <c r="H751" s="44"/>
      <c r="I751" s="44" t="s">
        <v>15</v>
      </c>
      <c r="J751" s="44"/>
      <c r="K751" t="s">
        <v>23</v>
      </c>
      <c r="L751"/>
    </row>
    <row r="752" spans="1:12" s="52" customFormat="1" ht="48" customHeight="1" x14ac:dyDescent="0.3">
      <c r="A752"/>
      <c r="B752" s="36" t="s">
        <v>909</v>
      </c>
      <c r="C752" s="77" t="s">
        <v>17</v>
      </c>
      <c r="D752" s="38"/>
      <c r="E752" s="39" t="s">
        <v>13</v>
      </c>
      <c r="F752" s="40" t="s">
        <v>14</v>
      </c>
      <c r="G752" s="41" t="s">
        <v>910</v>
      </c>
      <c r="H752" s="44"/>
      <c r="I752" s="44" t="s">
        <v>15</v>
      </c>
      <c r="J752" s="44"/>
      <c r="K752" t="s">
        <v>23</v>
      </c>
      <c r="L752"/>
    </row>
    <row r="753" spans="1:12" s="52" customFormat="1" ht="48" customHeight="1" x14ac:dyDescent="0.3">
      <c r="A753"/>
      <c r="B753" s="36" t="s">
        <v>942</v>
      </c>
      <c r="C753" s="90" t="s">
        <v>17</v>
      </c>
      <c r="D753" s="38"/>
      <c r="E753" s="39" t="s">
        <v>13</v>
      </c>
      <c r="F753" s="40" t="s">
        <v>14</v>
      </c>
      <c r="G753" s="41" t="s">
        <v>943</v>
      </c>
      <c r="H753" s="44"/>
      <c r="I753" s="44" t="s">
        <v>15</v>
      </c>
      <c r="J753" s="44"/>
      <c r="K753" t="s">
        <v>19</v>
      </c>
      <c r="L753"/>
    </row>
    <row r="754" spans="1:12" s="52" customFormat="1" ht="48" customHeight="1" x14ac:dyDescent="0.3">
      <c r="A754"/>
      <c r="B754" s="88" t="s">
        <v>1472</v>
      </c>
      <c r="C754" s="94" t="s">
        <v>17</v>
      </c>
      <c r="D754" s="89"/>
      <c r="E754" s="39" t="str">
        <f>E$734</f>
        <v>SVT + Physique-Chimie ou SVT + Maths</v>
      </c>
      <c r="F754" s="40" t="str">
        <f>F$734</f>
        <v>Maths compl. (option Tle) si Maths non conservée</v>
      </c>
      <c r="G754" s="41" t="s">
        <v>1473</v>
      </c>
      <c r="H754" s="44" t="s">
        <v>1474</v>
      </c>
      <c r="I754" s="44" t="str">
        <f>I$734</f>
        <v>SVT+PC | SVT+Maths</v>
      </c>
      <c r="J754" s="44"/>
      <c r="K754" s="100" t="s">
        <v>23</v>
      </c>
      <c r="L754"/>
    </row>
    <row r="755" spans="1:12" s="52" customFormat="1" ht="48" customHeight="1" x14ac:dyDescent="0.3">
      <c r="A755"/>
      <c r="B755" s="88" t="s">
        <v>1469</v>
      </c>
      <c r="C755" s="92" t="s">
        <v>17</v>
      </c>
      <c r="D755" s="89"/>
      <c r="E755" s="39" t="str">
        <f>E$734</f>
        <v>SVT + Physique-Chimie ou SVT + Maths</v>
      </c>
      <c r="F755" s="40" t="str">
        <f>F$734</f>
        <v>Maths compl. (option Tle) si Maths non conservée</v>
      </c>
      <c r="G755" s="41" t="s">
        <v>1470</v>
      </c>
      <c r="H755" s="44" t="s">
        <v>1471</v>
      </c>
      <c r="I755" s="44" t="str">
        <f>I$734</f>
        <v>SVT+PC | SVT+Maths</v>
      </c>
      <c r="J755" s="44"/>
      <c r="K755" s="100" t="s">
        <v>23</v>
      </c>
      <c r="L755"/>
    </row>
    <row r="756" spans="1:12" s="52" customFormat="1" ht="48" customHeight="1" x14ac:dyDescent="0.3">
      <c r="A756"/>
      <c r="B756" s="36" t="s">
        <v>823</v>
      </c>
      <c r="C756" s="91" t="s">
        <v>17</v>
      </c>
      <c r="D756" s="70" t="s">
        <v>17</v>
      </c>
      <c r="E756" s="39" t="s">
        <v>13</v>
      </c>
      <c r="F756" s="40" t="s">
        <v>14</v>
      </c>
      <c r="G756" s="41" t="s">
        <v>824</v>
      </c>
      <c r="H756" s="44"/>
      <c r="I756" s="44" t="s">
        <v>15</v>
      </c>
      <c r="J756" s="44"/>
      <c r="K756" t="s">
        <v>23</v>
      </c>
      <c r="L756"/>
    </row>
    <row r="757" spans="1:12" s="52" customFormat="1" ht="48" customHeight="1" x14ac:dyDescent="0.3"/>
    <row r="758" spans="1:12" s="52" customFormat="1" ht="48" customHeight="1" thickBot="1" x14ac:dyDescent="0.35">
      <c r="A758"/>
      <c r="B758" s="33" t="s">
        <v>1339</v>
      </c>
      <c r="C758" s="32"/>
      <c r="D758" s="32"/>
      <c r="E758" s="34" t="s">
        <v>13</v>
      </c>
      <c r="F758" s="35" t="s">
        <v>14</v>
      </c>
      <c r="G758" s="32"/>
      <c r="H758" s="43" t="s">
        <v>1340</v>
      </c>
      <c r="I758" s="43" t="s">
        <v>15</v>
      </c>
      <c r="J758" s="43"/>
      <c r="K758"/>
      <c r="L758"/>
    </row>
    <row r="759" spans="1:12" s="52" customFormat="1" ht="48" customHeight="1" x14ac:dyDescent="0.3">
      <c r="A759"/>
      <c r="B759" s="36" t="s">
        <v>347</v>
      </c>
      <c r="C759" s="37" t="s">
        <v>17</v>
      </c>
      <c r="D759" s="38"/>
      <c r="E759" s="39" t="s">
        <v>13</v>
      </c>
      <c r="F759" s="40" t="s">
        <v>14</v>
      </c>
      <c r="G759" s="41" t="s">
        <v>941</v>
      </c>
      <c r="H759" s="44"/>
      <c r="I759" s="44" t="s">
        <v>15</v>
      </c>
      <c r="J759" s="44"/>
      <c r="K759" t="s">
        <v>19</v>
      </c>
      <c r="L759"/>
    </row>
    <row r="760" spans="1:12" s="52" customFormat="1" ht="48" customHeight="1" x14ac:dyDescent="0.3">
      <c r="A760"/>
      <c r="B760" s="36" t="s">
        <v>921</v>
      </c>
      <c r="C760" s="37" t="s">
        <v>17</v>
      </c>
      <c r="D760" s="42" t="s">
        <v>17</v>
      </c>
      <c r="E760" s="39" t="s">
        <v>13</v>
      </c>
      <c r="F760" s="40" t="s">
        <v>14</v>
      </c>
      <c r="G760" s="41" t="s">
        <v>922</v>
      </c>
      <c r="H760" s="44"/>
      <c r="I760" s="44" t="s">
        <v>15</v>
      </c>
      <c r="J760" s="44"/>
      <c r="K760" t="s">
        <v>38</v>
      </c>
      <c r="L760"/>
    </row>
    <row r="761" spans="1:12" s="52" customFormat="1" ht="48" customHeight="1" x14ac:dyDescent="0.3">
      <c r="A761"/>
      <c r="B761" s="36" t="s">
        <v>939</v>
      </c>
      <c r="C761" s="37" t="s">
        <v>17</v>
      </c>
      <c r="D761" s="38"/>
      <c r="E761" s="39" t="s">
        <v>13</v>
      </c>
      <c r="F761" s="40" t="s">
        <v>14</v>
      </c>
      <c r="G761" s="41" t="s">
        <v>940</v>
      </c>
      <c r="H761" s="44"/>
      <c r="I761" s="44" t="s">
        <v>15</v>
      </c>
      <c r="J761" s="44"/>
      <c r="K761" t="s">
        <v>23</v>
      </c>
      <c r="L761"/>
    </row>
    <row r="762" spans="1:12" s="52" customFormat="1" ht="48" customHeight="1" x14ac:dyDescent="0.3">
      <c r="A762"/>
      <c r="B762" s="36" t="s">
        <v>933</v>
      </c>
      <c r="C762" s="37" t="s">
        <v>17</v>
      </c>
      <c r="D762" s="38"/>
      <c r="E762" s="39" t="s">
        <v>13</v>
      </c>
      <c r="F762" s="40" t="s">
        <v>14</v>
      </c>
      <c r="G762" s="41" t="s">
        <v>934</v>
      </c>
      <c r="H762" s="44"/>
      <c r="I762" s="44" t="s">
        <v>15</v>
      </c>
      <c r="J762" s="44"/>
      <c r="K762" t="s">
        <v>23</v>
      </c>
      <c r="L762"/>
    </row>
    <row r="763" spans="1:12" s="52" customFormat="1" ht="48" customHeight="1" x14ac:dyDescent="0.3">
      <c r="B763" s="36" t="s">
        <v>927</v>
      </c>
      <c r="C763" s="37" t="s">
        <v>17</v>
      </c>
      <c r="D763" s="38"/>
      <c r="E763" s="39" t="s">
        <v>13</v>
      </c>
      <c r="F763" s="40" t="s">
        <v>14</v>
      </c>
      <c r="G763" s="41" t="s">
        <v>928</v>
      </c>
      <c r="H763" s="44"/>
      <c r="I763" s="44" t="s">
        <v>15</v>
      </c>
      <c r="J763" s="44"/>
      <c r="K763" t="s">
        <v>23</v>
      </c>
    </row>
    <row r="764" spans="1:12" s="52" customFormat="1" ht="48" customHeight="1" x14ac:dyDescent="0.3">
      <c r="B764" s="36" t="s">
        <v>929</v>
      </c>
      <c r="C764" s="37" t="s">
        <v>17</v>
      </c>
      <c r="D764" s="38"/>
      <c r="E764" s="39" t="s">
        <v>13</v>
      </c>
      <c r="F764" s="40" t="s">
        <v>14</v>
      </c>
      <c r="G764" s="41" t="s">
        <v>930</v>
      </c>
      <c r="H764" s="44"/>
      <c r="I764" s="44" t="s">
        <v>15</v>
      </c>
      <c r="J764" s="44"/>
      <c r="K764" t="s">
        <v>38</v>
      </c>
    </row>
    <row r="765" spans="1:12" s="52" customFormat="1" ht="48" customHeight="1" x14ac:dyDescent="0.3">
      <c r="B765" s="36" t="s">
        <v>931</v>
      </c>
      <c r="C765" s="37" t="s">
        <v>17</v>
      </c>
      <c r="D765" s="38"/>
      <c r="E765" s="39" t="s">
        <v>13</v>
      </c>
      <c r="F765" s="40" t="s">
        <v>14</v>
      </c>
      <c r="G765" s="41" t="s">
        <v>932</v>
      </c>
      <c r="H765" s="44"/>
      <c r="I765" s="44" t="s">
        <v>15</v>
      </c>
      <c r="J765" s="44"/>
      <c r="K765" t="s">
        <v>38</v>
      </c>
    </row>
    <row r="766" spans="1:12" s="52" customFormat="1" ht="48" customHeight="1" x14ac:dyDescent="0.3">
      <c r="B766" s="36" t="s">
        <v>862</v>
      </c>
      <c r="C766" s="37" t="s">
        <v>17</v>
      </c>
      <c r="D766" s="38"/>
      <c r="E766" s="39" t="s">
        <v>13</v>
      </c>
      <c r="F766" s="40" t="s">
        <v>14</v>
      </c>
      <c r="G766" s="41" t="s">
        <v>863</v>
      </c>
      <c r="H766" s="44"/>
      <c r="I766" s="44" t="s">
        <v>15</v>
      </c>
      <c r="J766" s="44"/>
      <c r="K766" t="s">
        <v>19</v>
      </c>
    </row>
    <row r="767" spans="1:12" s="52" customFormat="1" ht="48" customHeight="1" x14ac:dyDescent="0.3">
      <c r="A767"/>
      <c r="B767" s="36" t="s">
        <v>919</v>
      </c>
      <c r="C767" s="37" t="s">
        <v>17</v>
      </c>
      <c r="D767" s="38"/>
      <c r="E767" s="39" t="s">
        <v>13</v>
      </c>
      <c r="F767" s="40" t="s">
        <v>14</v>
      </c>
      <c r="G767" s="41" t="s">
        <v>920</v>
      </c>
      <c r="H767" s="44"/>
      <c r="I767" s="44" t="s">
        <v>15</v>
      </c>
      <c r="J767" s="44"/>
      <c r="K767" s="87" t="s">
        <v>23</v>
      </c>
      <c r="L767" s="87"/>
    </row>
    <row r="768" spans="1:12" s="52" customFormat="1" ht="48" customHeight="1" x14ac:dyDescent="0.3">
      <c r="A768"/>
      <c r="B768" s="36" t="s">
        <v>935</v>
      </c>
      <c r="C768" s="37" t="s">
        <v>17</v>
      </c>
      <c r="D768" s="38"/>
      <c r="E768" s="39" t="s">
        <v>13</v>
      </c>
      <c r="F768" s="40" t="s">
        <v>14</v>
      </c>
      <c r="G768" s="41" t="s">
        <v>936</v>
      </c>
      <c r="H768" s="44"/>
      <c r="I768" s="44" t="s">
        <v>15</v>
      </c>
      <c r="J768" s="44"/>
      <c r="K768" t="s">
        <v>38</v>
      </c>
      <c r="L768"/>
    </row>
    <row r="769" spans="1:12" s="52" customFormat="1" ht="48" customHeight="1" x14ac:dyDescent="0.3">
      <c r="A769"/>
      <c r="B769" s="36" t="s">
        <v>937</v>
      </c>
      <c r="C769" s="37" t="s">
        <v>17</v>
      </c>
      <c r="D769" s="38"/>
      <c r="E769" s="39" t="s">
        <v>13</v>
      </c>
      <c r="F769" s="40" t="s">
        <v>14</v>
      </c>
      <c r="G769" s="41" t="s">
        <v>938</v>
      </c>
      <c r="H769" s="44"/>
      <c r="I769" s="44" t="s">
        <v>15</v>
      </c>
      <c r="J769" s="44"/>
      <c r="K769" t="s">
        <v>38</v>
      </c>
      <c r="L769"/>
    </row>
    <row r="770" spans="1:12" s="52" customFormat="1" ht="48" customHeight="1" x14ac:dyDescent="0.3"/>
    <row r="771" spans="1:12" s="52" customFormat="1" ht="48" customHeight="1" thickBot="1" x14ac:dyDescent="0.35">
      <c r="A771"/>
      <c r="B771" s="33" t="s">
        <v>1341</v>
      </c>
      <c r="C771" s="32"/>
      <c r="D771" s="32"/>
      <c r="E771" s="34" t="s">
        <v>13</v>
      </c>
      <c r="F771" s="35" t="s">
        <v>14</v>
      </c>
      <c r="G771" s="32"/>
      <c r="H771" s="43" t="s">
        <v>1342</v>
      </c>
      <c r="I771" s="43" t="s">
        <v>15</v>
      </c>
      <c r="J771" s="43"/>
      <c r="K771"/>
      <c r="L771"/>
    </row>
    <row r="772" spans="1:12" s="52" customFormat="1" ht="48" customHeight="1" x14ac:dyDescent="0.3">
      <c r="B772" s="36" t="s">
        <v>381</v>
      </c>
      <c r="C772" s="37" t="s">
        <v>17</v>
      </c>
      <c r="D772" s="38"/>
      <c r="E772" s="39" t="s">
        <v>13</v>
      </c>
      <c r="F772" s="40" t="s">
        <v>14</v>
      </c>
      <c r="G772" s="41" t="s">
        <v>898</v>
      </c>
      <c r="H772" s="44"/>
      <c r="I772" s="44" t="s">
        <v>15</v>
      </c>
      <c r="J772" s="44"/>
      <c r="K772" t="s">
        <v>19</v>
      </c>
    </row>
    <row r="773" spans="1:12" s="52" customFormat="1" ht="48" customHeight="1" x14ac:dyDescent="0.3">
      <c r="A773"/>
      <c r="B773" s="36" t="s">
        <v>783</v>
      </c>
      <c r="C773" s="37" t="s">
        <v>17</v>
      </c>
      <c r="D773" s="38"/>
      <c r="E773" s="39" t="s">
        <v>13</v>
      </c>
      <c r="F773" s="40" t="s">
        <v>14</v>
      </c>
      <c r="G773" s="41" t="s">
        <v>784</v>
      </c>
      <c r="H773" s="44"/>
      <c r="I773" s="44" t="s">
        <v>15</v>
      </c>
      <c r="J773" s="44"/>
      <c r="K773" t="s">
        <v>19</v>
      </c>
      <c r="L773"/>
    </row>
    <row r="774" spans="1:12" s="52" customFormat="1" ht="48" customHeight="1" x14ac:dyDescent="0.3">
      <c r="A774"/>
      <c r="B774" s="36" t="s">
        <v>899</v>
      </c>
      <c r="C774" s="37" t="s">
        <v>17</v>
      </c>
      <c r="D774" s="38"/>
      <c r="E774" s="39" t="s">
        <v>13</v>
      </c>
      <c r="F774" s="40" t="s">
        <v>14</v>
      </c>
      <c r="G774" s="41" t="s">
        <v>900</v>
      </c>
      <c r="H774" s="44"/>
      <c r="I774" s="44" t="s">
        <v>15</v>
      </c>
      <c r="J774" s="44"/>
      <c r="K774" t="s">
        <v>19</v>
      </c>
      <c r="L774"/>
    </row>
    <row r="775" spans="1:12" s="52" customFormat="1" ht="48" customHeight="1" x14ac:dyDescent="0.3">
      <c r="A775"/>
      <c r="B775" s="36" t="s">
        <v>373</v>
      </c>
      <c r="C775" s="37" t="s">
        <v>17</v>
      </c>
      <c r="D775" s="38"/>
      <c r="E775" s="39" t="s">
        <v>13</v>
      </c>
      <c r="F775" s="40" t="s">
        <v>14</v>
      </c>
      <c r="G775" s="41" t="s">
        <v>374</v>
      </c>
      <c r="H775" s="44"/>
      <c r="I775" s="44" t="s">
        <v>15</v>
      </c>
      <c r="J775" s="44"/>
      <c r="K775" s="87" t="s">
        <v>19</v>
      </c>
      <c r="L775" s="87"/>
    </row>
    <row r="776" spans="1:12" s="52" customFormat="1" ht="48" customHeight="1" x14ac:dyDescent="0.3">
      <c r="A776"/>
      <c r="B776" s="36" t="s">
        <v>787</v>
      </c>
      <c r="C776" s="37" t="s">
        <v>17</v>
      </c>
      <c r="D776" s="38"/>
      <c r="E776" s="39" t="s">
        <v>13</v>
      </c>
      <c r="F776" s="40" t="s">
        <v>14</v>
      </c>
      <c r="G776" s="41" t="s">
        <v>788</v>
      </c>
      <c r="H776" s="44"/>
      <c r="I776" s="44" t="s">
        <v>15</v>
      </c>
      <c r="J776" s="44"/>
      <c r="K776" t="s">
        <v>23</v>
      </c>
      <c r="L776"/>
    </row>
    <row r="777" spans="1:12" s="52" customFormat="1" ht="48" customHeight="1" x14ac:dyDescent="0.3"/>
    <row r="778" spans="1:12" s="52" customFormat="1" ht="48" customHeight="1" thickBot="1" x14ac:dyDescent="0.35">
      <c r="A778"/>
      <c r="B778" s="33" t="s">
        <v>1343</v>
      </c>
      <c r="C778" s="32"/>
      <c r="D778" s="66"/>
      <c r="E778" s="34" t="s">
        <v>13</v>
      </c>
      <c r="F778" s="35" t="s">
        <v>14</v>
      </c>
      <c r="G778" s="32"/>
      <c r="H778" s="43" t="s">
        <v>1344</v>
      </c>
      <c r="I778" s="43" t="s">
        <v>15</v>
      </c>
      <c r="J778" s="43"/>
      <c r="K778"/>
      <c r="L778"/>
    </row>
    <row r="779" spans="1:12" s="52" customFormat="1" ht="48" customHeight="1" x14ac:dyDescent="0.3">
      <c r="A779"/>
      <c r="B779" s="36" t="s">
        <v>116</v>
      </c>
      <c r="C779" s="101" t="s">
        <v>17</v>
      </c>
      <c r="D779" s="38"/>
      <c r="E779" s="39" t="s">
        <v>13</v>
      </c>
      <c r="F779" s="40" t="s">
        <v>14</v>
      </c>
      <c r="G779" s="41" t="s">
        <v>117</v>
      </c>
      <c r="H779" s="44"/>
      <c r="I779" s="44" t="s">
        <v>15</v>
      </c>
      <c r="J779" s="44"/>
      <c r="K779" t="s">
        <v>38</v>
      </c>
      <c r="L779"/>
    </row>
    <row r="780" spans="1:12" s="52" customFormat="1" ht="48" customHeight="1" x14ac:dyDescent="0.3">
      <c r="A780"/>
      <c r="B780" s="88" t="s">
        <v>1452</v>
      </c>
      <c r="C780" s="92" t="s">
        <v>17</v>
      </c>
      <c r="D780" s="89"/>
      <c r="E780" s="39" t="str">
        <f>E$778</f>
        <v>SVT + Physique-Chimie ou SVT + Maths</v>
      </c>
      <c r="F780" s="40" t="str">
        <f>F$778</f>
        <v>Maths compl. (option Tle) si Maths non conservée</v>
      </c>
      <c r="G780" s="41" t="s">
        <v>1453</v>
      </c>
      <c r="H780" s="44" t="s">
        <v>1454</v>
      </c>
      <c r="I780" s="44" t="str">
        <f>I$778</f>
        <v>SVT+PC | SVT+Maths</v>
      </c>
      <c r="J780" s="44"/>
      <c r="K780" s="100" t="s">
        <v>19</v>
      </c>
      <c r="L780"/>
    </row>
    <row r="781" spans="1:12" s="52" customFormat="1" ht="48" customHeight="1" x14ac:dyDescent="0.3">
      <c r="B781" s="36" t="s">
        <v>178</v>
      </c>
      <c r="C781" s="112" t="s">
        <v>17</v>
      </c>
      <c r="D781" s="38"/>
      <c r="E781" s="39" t="s">
        <v>99</v>
      </c>
      <c r="F781" s="40"/>
      <c r="G781" s="41" t="s">
        <v>179</v>
      </c>
      <c r="H781" s="44"/>
      <c r="I781" s="44" t="s">
        <v>101</v>
      </c>
      <c r="J781" s="44"/>
      <c r="K781" t="s">
        <v>38</v>
      </c>
    </row>
    <row r="782" spans="1:12" s="52" customFormat="1" ht="48" customHeight="1" x14ac:dyDescent="0.3">
      <c r="A782"/>
      <c r="B782" s="36" t="s">
        <v>118</v>
      </c>
      <c r="C782" s="101" t="s">
        <v>17</v>
      </c>
      <c r="D782" s="38"/>
      <c r="E782" s="39" t="s">
        <v>13</v>
      </c>
      <c r="F782" s="40" t="s">
        <v>14</v>
      </c>
      <c r="G782" s="41" t="s">
        <v>119</v>
      </c>
      <c r="H782" s="44"/>
      <c r="I782" s="44" t="s">
        <v>15</v>
      </c>
      <c r="J782" s="44"/>
      <c r="K782" t="s">
        <v>38</v>
      </c>
      <c r="L782"/>
    </row>
    <row r="783" spans="1:12" s="52" customFormat="1" ht="48" customHeight="1" x14ac:dyDescent="0.3">
      <c r="B783" s="36" t="s">
        <v>114</v>
      </c>
      <c r="C783" s="95" t="s">
        <v>17</v>
      </c>
      <c r="D783" s="67"/>
      <c r="E783" s="39" t="s">
        <v>13</v>
      </c>
      <c r="F783" s="40" t="s">
        <v>14</v>
      </c>
      <c r="G783" s="41" t="s">
        <v>115</v>
      </c>
      <c r="H783" s="44"/>
      <c r="I783" s="44" t="s">
        <v>15</v>
      </c>
      <c r="J783" s="44"/>
      <c r="K783" t="s">
        <v>38</v>
      </c>
    </row>
    <row r="784" spans="1:12" s="52" customFormat="1" ht="48" customHeight="1" x14ac:dyDescent="0.3">
      <c r="B784" s="88" t="s">
        <v>1421</v>
      </c>
      <c r="C784" s="92" t="s">
        <v>17</v>
      </c>
      <c r="D784" s="104"/>
      <c r="E784" s="39" t="str">
        <f>E$778</f>
        <v>SVT + Physique-Chimie ou SVT + Maths</v>
      </c>
      <c r="F784" s="40" t="str">
        <f>F$778</f>
        <v>Maths compl. (option Tle) si Maths non conservée</v>
      </c>
      <c r="G784" s="41" t="s">
        <v>1422</v>
      </c>
      <c r="H784" s="44" t="s">
        <v>1423</v>
      </c>
      <c r="I784" s="44" t="str">
        <f>I$778</f>
        <v>SVT+PC | SVT+Maths</v>
      </c>
      <c r="J784" s="44"/>
      <c r="K784" s="100" t="s">
        <v>19</v>
      </c>
    </row>
    <row r="785" spans="1:12" s="52" customFormat="1" ht="48" customHeight="1" x14ac:dyDescent="0.3">
      <c r="A785"/>
      <c r="B785" s="36" t="s">
        <v>130</v>
      </c>
      <c r="C785" s="117" t="s">
        <v>17</v>
      </c>
      <c r="D785" s="38"/>
      <c r="E785" s="39" t="s">
        <v>13</v>
      </c>
      <c r="F785" s="40" t="s">
        <v>14</v>
      </c>
      <c r="G785" s="41" t="s">
        <v>131</v>
      </c>
      <c r="H785" s="44"/>
      <c r="I785" s="44" t="s">
        <v>15</v>
      </c>
      <c r="J785" s="44"/>
      <c r="K785" t="s">
        <v>19</v>
      </c>
      <c r="L785"/>
    </row>
    <row r="786" spans="1:12" s="52" customFormat="1" ht="48" customHeight="1" x14ac:dyDescent="0.3">
      <c r="A786"/>
      <c r="B786" s="88" t="s">
        <v>1446</v>
      </c>
      <c r="C786" s="92" t="s">
        <v>17</v>
      </c>
      <c r="D786" s="89"/>
      <c r="E786" s="39" t="str">
        <f>E$778</f>
        <v>SVT + Physique-Chimie ou SVT + Maths</v>
      </c>
      <c r="F786" s="40" t="str">
        <f>F$778</f>
        <v>Maths compl. (option Tle) si Maths non conservée</v>
      </c>
      <c r="G786" s="41" t="s">
        <v>1447</v>
      </c>
      <c r="H786" s="44" t="s">
        <v>1448</v>
      </c>
      <c r="I786" s="44" t="str">
        <f>I$778</f>
        <v>SVT+PC | SVT+Maths</v>
      </c>
      <c r="J786" s="44"/>
      <c r="K786" s="100" t="s">
        <v>19</v>
      </c>
      <c r="L786"/>
    </row>
    <row r="787" spans="1:12" s="52" customFormat="1" ht="48" customHeight="1" x14ac:dyDescent="0.3">
      <c r="A787"/>
      <c r="B787" s="88" t="s">
        <v>1312</v>
      </c>
      <c r="C787" s="118" t="s">
        <v>17</v>
      </c>
      <c r="D787" s="89"/>
      <c r="E787" s="39" t="s">
        <v>13</v>
      </c>
      <c r="F787" s="40" t="s">
        <v>14</v>
      </c>
      <c r="G787" s="41" t="s">
        <v>1313</v>
      </c>
      <c r="H787" s="44" t="s">
        <v>1314</v>
      </c>
      <c r="I787" s="44" t="s">
        <v>15</v>
      </c>
      <c r="J787" s="44"/>
      <c r="K787" s="100" t="s">
        <v>19</v>
      </c>
      <c r="L787"/>
    </row>
    <row r="788" spans="1:12" s="52" customFormat="1" ht="48" customHeight="1" x14ac:dyDescent="0.3">
      <c r="A788"/>
      <c r="B788" s="88" t="s">
        <v>1443</v>
      </c>
      <c r="C788" s="92" t="s">
        <v>17</v>
      </c>
      <c r="D788" s="89"/>
      <c r="E788" s="39" t="str">
        <f>E$778</f>
        <v>SVT + Physique-Chimie ou SVT + Maths</v>
      </c>
      <c r="F788" s="40" t="str">
        <f>F$778</f>
        <v>Maths compl. (option Tle) si Maths non conservée</v>
      </c>
      <c r="G788" s="41" t="s">
        <v>1444</v>
      </c>
      <c r="H788" s="44" t="s">
        <v>1445</v>
      </c>
      <c r="I788" s="44" t="str">
        <f>I$778</f>
        <v>SVT+PC | SVT+Maths</v>
      </c>
      <c r="J788" s="44"/>
      <c r="K788" s="100" t="s">
        <v>19</v>
      </c>
      <c r="L788"/>
    </row>
    <row r="789" spans="1:12" s="52" customFormat="1" ht="48" customHeight="1" x14ac:dyDescent="0.3">
      <c r="A789"/>
      <c r="B789" s="88" t="s">
        <v>1431</v>
      </c>
      <c r="C789" s="93" t="s">
        <v>17</v>
      </c>
      <c r="D789" s="89"/>
      <c r="E789" s="39" t="str">
        <f>E$778</f>
        <v>SVT + Physique-Chimie ou SVT + Maths</v>
      </c>
      <c r="F789" s="40" t="str">
        <f>F$778</f>
        <v>Maths compl. (option Tle) si Maths non conservée</v>
      </c>
      <c r="G789" s="41" t="s">
        <v>1432</v>
      </c>
      <c r="H789" s="44" t="s">
        <v>1433</v>
      </c>
      <c r="I789" s="44" t="str">
        <f>I$778</f>
        <v>SVT+PC | SVT+Maths</v>
      </c>
      <c r="J789" s="44"/>
      <c r="K789" s="100" t="s">
        <v>19</v>
      </c>
      <c r="L789"/>
    </row>
    <row r="790" spans="1:12" s="52" customFormat="1" ht="48" customHeight="1" x14ac:dyDescent="0.3">
      <c r="A790"/>
      <c r="B790" s="36" t="s">
        <v>120</v>
      </c>
      <c r="C790" s="117" t="s">
        <v>17</v>
      </c>
      <c r="D790" s="38"/>
      <c r="E790" s="39" t="s">
        <v>13</v>
      </c>
      <c r="F790" s="40" t="s">
        <v>14</v>
      </c>
      <c r="G790" s="41" t="s">
        <v>121</v>
      </c>
      <c r="H790" s="44"/>
      <c r="I790" s="44" t="s">
        <v>15</v>
      </c>
      <c r="J790" s="44"/>
      <c r="K790" t="s">
        <v>19</v>
      </c>
      <c r="L790"/>
    </row>
    <row r="791" spans="1:12" s="52" customFormat="1" ht="48" customHeight="1" x14ac:dyDescent="0.3">
      <c r="A791"/>
      <c r="B791" s="88" t="s">
        <v>1388</v>
      </c>
      <c r="C791" s="92" t="s">
        <v>17</v>
      </c>
      <c r="D791" s="89"/>
      <c r="E791" s="39" t="s">
        <v>13</v>
      </c>
      <c r="F791" s="40" t="s">
        <v>14</v>
      </c>
      <c r="G791" s="41" t="s">
        <v>1389</v>
      </c>
      <c r="H791" s="44" t="s">
        <v>1390</v>
      </c>
      <c r="I791" s="44" t="s">
        <v>15</v>
      </c>
      <c r="J791" s="44"/>
      <c r="K791" s="97" t="s">
        <v>19</v>
      </c>
      <c r="L791"/>
    </row>
    <row r="792" spans="1:12" s="52" customFormat="1" ht="48" customHeight="1" x14ac:dyDescent="0.3">
      <c r="A792"/>
      <c r="B792" s="36" t="s">
        <v>110</v>
      </c>
      <c r="C792" s="91" t="s">
        <v>17</v>
      </c>
      <c r="D792" s="67"/>
      <c r="E792" s="39" t="s">
        <v>13</v>
      </c>
      <c r="F792" s="40" t="s">
        <v>14</v>
      </c>
      <c r="G792" s="41" t="s">
        <v>111</v>
      </c>
      <c r="H792" s="44"/>
      <c r="I792" s="44" t="s">
        <v>15</v>
      </c>
      <c r="J792" s="44"/>
      <c r="K792" s="87" t="s">
        <v>38</v>
      </c>
      <c r="L792" s="87"/>
    </row>
    <row r="793" spans="1:12" s="52" customFormat="1" ht="48" customHeight="1" x14ac:dyDescent="0.3">
      <c r="B793" s="36" t="s">
        <v>112</v>
      </c>
      <c r="C793" s="95" t="s">
        <v>17</v>
      </c>
      <c r="D793" s="67"/>
      <c r="E793" s="39" t="s">
        <v>13</v>
      </c>
      <c r="F793" s="40" t="s">
        <v>14</v>
      </c>
      <c r="G793" s="41" t="s">
        <v>113</v>
      </c>
      <c r="H793" s="44"/>
      <c r="I793" s="44" t="s">
        <v>15</v>
      </c>
      <c r="J793" s="44"/>
      <c r="K793" t="s">
        <v>38</v>
      </c>
    </row>
    <row r="794" spans="1:12" s="52" customFormat="1" ht="48" customHeight="1" x14ac:dyDescent="0.3">
      <c r="B794" s="88" t="s">
        <v>1418</v>
      </c>
      <c r="C794" s="92" t="s">
        <v>17</v>
      </c>
      <c r="D794" s="104"/>
      <c r="E794" s="39" t="str">
        <f>E$778</f>
        <v>SVT + Physique-Chimie ou SVT + Maths</v>
      </c>
      <c r="F794" s="40" t="str">
        <f>F$778</f>
        <v>Maths compl. (option Tle) si Maths non conservée</v>
      </c>
      <c r="G794" s="41" t="s">
        <v>1419</v>
      </c>
      <c r="H794" s="44" t="s">
        <v>1420</v>
      </c>
      <c r="I794" s="44" t="str">
        <f>I$778</f>
        <v>SVT+PC | SVT+Maths</v>
      </c>
      <c r="J794" s="44"/>
      <c r="K794" s="100" t="s">
        <v>19</v>
      </c>
    </row>
    <row r="795" spans="1:12" s="52" customFormat="1" ht="48" customHeight="1" x14ac:dyDescent="0.3">
      <c r="A795"/>
      <c r="B795" s="36" t="s">
        <v>108</v>
      </c>
      <c r="C795" s="169" t="s">
        <v>17</v>
      </c>
      <c r="D795" s="69" t="s">
        <v>17</v>
      </c>
      <c r="E795" s="65" t="s">
        <v>13</v>
      </c>
      <c r="F795" s="40" t="s">
        <v>14</v>
      </c>
      <c r="G795" s="41" t="s">
        <v>109</v>
      </c>
      <c r="H795" s="44"/>
      <c r="I795" s="44" t="s">
        <v>15</v>
      </c>
      <c r="J795" s="44"/>
      <c r="K795" t="s">
        <v>38</v>
      </c>
      <c r="L795"/>
    </row>
    <row r="796" spans="1:12" s="52" customFormat="1" ht="48" customHeight="1" x14ac:dyDescent="0.3">
      <c r="A796"/>
      <c r="B796" s="88" t="s">
        <v>1705</v>
      </c>
      <c r="C796" s="94" t="s">
        <v>17</v>
      </c>
      <c r="D796" s="168"/>
      <c r="E796" s="65" t="s">
        <v>477</v>
      </c>
      <c r="F796" s="40"/>
      <c r="G796" s="41" t="s">
        <v>1706</v>
      </c>
      <c r="H796" s="44" t="s">
        <v>1707</v>
      </c>
      <c r="I796" s="44" t="s">
        <v>1270</v>
      </c>
      <c r="J796" s="44"/>
      <c r="K796" s="167" t="s">
        <v>38</v>
      </c>
      <c r="L796"/>
    </row>
    <row r="797" spans="1:12" s="52" customFormat="1" ht="48" customHeight="1" x14ac:dyDescent="0.3">
      <c r="A797"/>
      <c r="B797" s="88" t="s">
        <v>1711</v>
      </c>
      <c r="C797" s="92" t="s">
        <v>17</v>
      </c>
      <c r="D797" s="168"/>
      <c r="E797" s="65" t="s">
        <v>477</v>
      </c>
      <c r="F797" s="40"/>
      <c r="G797" s="41" t="s">
        <v>1712</v>
      </c>
      <c r="H797" s="44" t="s">
        <v>1713</v>
      </c>
      <c r="I797" s="44" t="s">
        <v>1270</v>
      </c>
      <c r="J797" s="44"/>
      <c r="K797" s="167" t="s">
        <v>38</v>
      </c>
      <c r="L797"/>
    </row>
    <row r="798" spans="1:12" s="52" customFormat="1" ht="48" customHeight="1" x14ac:dyDescent="0.3"/>
    <row r="799" spans="1:12" s="52" customFormat="1" ht="48" customHeight="1" thickBot="1" x14ac:dyDescent="0.35">
      <c r="A799"/>
      <c r="B799" s="33" t="s">
        <v>1345</v>
      </c>
      <c r="C799" s="32"/>
      <c r="D799" s="66"/>
      <c r="E799" s="34" t="s">
        <v>13</v>
      </c>
      <c r="F799" s="35" t="s">
        <v>14</v>
      </c>
      <c r="G799" s="32"/>
      <c r="H799" s="43" t="s">
        <v>1346</v>
      </c>
      <c r="I799" s="43" t="s">
        <v>15</v>
      </c>
      <c r="J799" s="43"/>
      <c r="K799"/>
      <c r="L799"/>
    </row>
    <row r="800" spans="1:12" s="52" customFormat="1" ht="48" customHeight="1" x14ac:dyDescent="0.3">
      <c r="B800" s="36" t="s">
        <v>126</v>
      </c>
      <c r="C800" s="95" t="s">
        <v>17</v>
      </c>
      <c r="D800" s="38"/>
      <c r="E800" s="39" t="s">
        <v>13</v>
      </c>
      <c r="F800" s="40" t="s">
        <v>14</v>
      </c>
      <c r="G800" s="41" t="s">
        <v>127</v>
      </c>
      <c r="H800" s="44"/>
      <c r="I800" s="44" t="s">
        <v>15</v>
      </c>
      <c r="J800" s="44"/>
      <c r="K800" t="s">
        <v>19</v>
      </c>
    </row>
    <row r="801" spans="1:12" s="52" customFormat="1" ht="48" customHeight="1" x14ac:dyDescent="0.3">
      <c r="A801"/>
      <c r="B801" s="36" t="s">
        <v>122</v>
      </c>
      <c r="C801" s="37" t="s">
        <v>17</v>
      </c>
      <c r="D801" s="38"/>
      <c r="E801" s="39" t="s">
        <v>13</v>
      </c>
      <c r="F801" s="40" t="s">
        <v>14</v>
      </c>
      <c r="G801" s="41" t="s">
        <v>123</v>
      </c>
      <c r="H801" s="44"/>
      <c r="I801" s="44" t="s">
        <v>15</v>
      </c>
      <c r="J801" s="44"/>
      <c r="K801" t="s">
        <v>19</v>
      </c>
      <c r="L801"/>
    </row>
    <row r="802" spans="1:12" s="52" customFormat="1" ht="48" customHeight="1" x14ac:dyDescent="0.3">
      <c r="B802" s="88" t="s">
        <v>1271</v>
      </c>
      <c r="C802" s="94" t="s">
        <v>17</v>
      </c>
      <c r="D802" s="89"/>
      <c r="E802" s="39" t="s">
        <v>99</v>
      </c>
      <c r="F802" s="40"/>
      <c r="G802" s="41" t="s">
        <v>1272</v>
      </c>
      <c r="H802" s="44"/>
      <c r="I802" s="44" t="s">
        <v>101</v>
      </c>
      <c r="J802" s="44"/>
      <c r="K802" t="s">
        <v>38</v>
      </c>
    </row>
    <row r="803" spans="1:12" s="52" customFormat="1" ht="48" customHeight="1" x14ac:dyDescent="0.3">
      <c r="A803"/>
      <c r="B803" s="36" t="s">
        <v>124</v>
      </c>
      <c r="C803" s="37" t="s">
        <v>17</v>
      </c>
      <c r="D803" s="38"/>
      <c r="E803" s="39" t="s">
        <v>13</v>
      </c>
      <c r="F803" s="40" t="s">
        <v>14</v>
      </c>
      <c r="G803" s="41" t="s">
        <v>125</v>
      </c>
      <c r="H803" s="44"/>
      <c r="I803" s="44" t="s">
        <v>15</v>
      </c>
      <c r="J803" s="44"/>
      <c r="K803" t="s">
        <v>19</v>
      </c>
      <c r="L803"/>
    </row>
    <row r="804" spans="1:12" s="52" customFormat="1" ht="48" customHeight="1" x14ac:dyDescent="0.3">
      <c r="B804" s="88" t="s">
        <v>1275</v>
      </c>
      <c r="C804" s="94" t="s">
        <v>17</v>
      </c>
      <c r="D804" s="89"/>
      <c r="E804" s="39" t="s">
        <v>13</v>
      </c>
      <c r="F804" s="40" t="s">
        <v>14</v>
      </c>
      <c r="G804" s="41" t="s">
        <v>1276</v>
      </c>
      <c r="H804" s="44"/>
      <c r="I804" s="44" t="s">
        <v>15</v>
      </c>
      <c r="J804" s="44"/>
      <c r="K804" s="97" t="s">
        <v>19</v>
      </c>
    </row>
    <row r="805" spans="1:12" s="52" customFormat="1" ht="48" customHeight="1" x14ac:dyDescent="0.3">
      <c r="B805" s="88" t="s">
        <v>1434</v>
      </c>
      <c r="C805" s="92" t="s">
        <v>17</v>
      </c>
      <c r="D805" s="89"/>
      <c r="E805" s="39" t="str">
        <f>E$799</f>
        <v>SVT + Physique-Chimie ou SVT + Maths</v>
      </c>
      <c r="F805" s="40" t="str">
        <f>F$799</f>
        <v>Maths compl. (option Tle) si Maths non conservée</v>
      </c>
      <c r="G805" s="41" t="s">
        <v>1435</v>
      </c>
      <c r="H805" s="44" t="s">
        <v>1436</v>
      </c>
      <c r="I805" s="44" t="str">
        <f>I$799</f>
        <v>SVT+PC | SVT+Maths</v>
      </c>
      <c r="J805" s="44"/>
      <c r="K805" s="97" t="s">
        <v>19</v>
      </c>
    </row>
    <row r="806" spans="1:12" s="52" customFormat="1" ht="48" customHeight="1" x14ac:dyDescent="0.3">
      <c r="B806" s="88" t="s">
        <v>1273</v>
      </c>
      <c r="C806" s="93" t="s">
        <v>17</v>
      </c>
      <c r="D806" s="89"/>
      <c r="E806" s="39" t="s">
        <v>99</v>
      </c>
      <c r="F806" s="40"/>
      <c r="G806" s="41" t="s">
        <v>1274</v>
      </c>
      <c r="H806" s="44"/>
      <c r="I806" s="44" t="s">
        <v>101</v>
      </c>
      <c r="J806" s="44"/>
      <c r="K806" t="s">
        <v>23</v>
      </c>
    </row>
    <row r="807" spans="1:12" s="52" customFormat="1" ht="48" customHeight="1" x14ac:dyDescent="0.3">
      <c r="B807" s="36" t="s">
        <v>128</v>
      </c>
      <c r="C807" s="96" t="s">
        <v>17</v>
      </c>
      <c r="D807" s="38"/>
      <c r="E807" s="39" t="s">
        <v>99</v>
      </c>
      <c r="F807" s="40"/>
      <c r="G807" s="41" t="s">
        <v>129</v>
      </c>
      <c r="H807" s="44"/>
      <c r="I807" s="44" t="s">
        <v>101</v>
      </c>
      <c r="J807" s="44"/>
      <c r="K807" t="s">
        <v>38</v>
      </c>
    </row>
    <row r="808" spans="1:12" s="52" customFormat="1" ht="48" customHeight="1" x14ac:dyDescent="0.3"/>
    <row r="809" spans="1:12" s="52" customFormat="1" ht="48" customHeight="1" thickBot="1" x14ac:dyDescent="0.35">
      <c r="A809"/>
      <c r="B809" s="33" t="s">
        <v>1347</v>
      </c>
      <c r="C809" s="32"/>
      <c r="D809" s="66"/>
      <c r="E809" s="34" t="s">
        <v>13</v>
      </c>
      <c r="F809" s="35" t="s">
        <v>14</v>
      </c>
      <c r="G809" s="32"/>
      <c r="H809" s="43" t="s">
        <v>1348</v>
      </c>
      <c r="I809" s="43" t="s">
        <v>15</v>
      </c>
      <c r="J809" s="43"/>
      <c r="K809"/>
      <c r="L809"/>
    </row>
    <row r="810" spans="1:12" s="52" customFormat="1" ht="48" customHeight="1" x14ac:dyDescent="0.3">
      <c r="A810"/>
      <c r="B810" s="36" t="s">
        <v>140</v>
      </c>
      <c r="C810" s="37" t="s">
        <v>17</v>
      </c>
      <c r="D810" s="38"/>
      <c r="E810" s="39" t="s">
        <v>13</v>
      </c>
      <c r="F810" s="40" t="s">
        <v>14</v>
      </c>
      <c r="G810" s="41" t="s">
        <v>141</v>
      </c>
      <c r="H810" s="44"/>
      <c r="I810" s="44" t="s">
        <v>15</v>
      </c>
      <c r="J810" s="44"/>
      <c r="K810" t="s">
        <v>19</v>
      </c>
      <c r="L810"/>
    </row>
    <row r="811" spans="1:12" s="52" customFormat="1" ht="48" customHeight="1" x14ac:dyDescent="0.3">
      <c r="A811"/>
      <c r="B811" s="36" t="s">
        <v>152</v>
      </c>
      <c r="C811" s="37" t="s">
        <v>17</v>
      </c>
      <c r="D811" s="38"/>
      <c r="E811" s="39" t="s">
        <v>13</v>
      </c>
      <c r="F811" s="40" t="s">
        <v>14</v>
      </c>
      <c r="G811" s="41" t="s">
        <v>153</v>
      </c>
      <c r="H811" s="44"/>
      <c r="I811" s="44" t="s">
        <v>15</v>
      </c>
      <c r="J811" s="44"/>
      <c r="K811" t="s">
        <v>19</v>
      </c>
      <c r="L811"/>
    </row>
    <row r="812" spans="1:12" s="52" customFormat="1" ht="48" customHeight="1" x14ac:dyDescent="0.3">
      <c r="A812"/>
      <c r="B812" s="36" t="s">
        <v>154</v>
      </c>
      <c r="C812" s="37" t="s">
        <v>17</v>
      </c>
      <c r="D812" s="38"/>
      <c r="E812" s="39" t="s">
        <v>13</v>
      </c>
      <c r="F812" s="40" t="s">
        <v>14</v>
      </c>
      <c r="G812" s="41" t="s">
        <v>155</v>
      </c>
      <c r="H812" s="44"/>
      <c r="I812" s="44" t="s">
        <v>15</v>
      </c>
      <c r="J812" s="44"/>
      <c r="K812" t="s">
        <v>19</v>
      </c>
      <c r="L812"/>
    </row>
    <row r="813" spans="1:12" s="52" customFormat="1" ht="48" customHeight="1" x14ac:dyDescent="0.3">
      <c r="A813"/>
      <c r="B813" s="36" t="s">
        <v>132</v>
      </c>
      <c r="C813" s="37" t="s">
        <v>17</v>
      </c>
      <c r="D813" s="38"/>
      <c r="E813" s="39" t="s">
        <v>13</v>
      </c>
      <c r="F813" s="40" t="s">
        <v>14</v>
      </c>
      <c r="G813" s="41" t="s">
        <v>133</v>
      </c>
      <c r="H813" s="44"/>
      <c r="I813" s="44" t="s">
        <v>15</v>
      </c>
      <c r="J813" s="44"/>
      <c r="K813" s="87" t="s">
        <v>19</v>
      </c>
      <c r="L813" s="87"/>
    </row>
    <row r="814" spans="1:12" s="52" customFormat="1" ht="48" customHeight="1" x14ac:dyDescent="0.3">
      <c r="A814"/>
      <c r="B814" s="36" t="s">
        <v>150</v>
      </c>
      <c r="C814" s="37" t="s">
        <v>17</v>
      </c>
      <c r="D814" s="38"/>
      <c r="E814" s="39" t="s">
        <v>13</v>
      </c>
      <c r="F814" s="40" t="s">
        <v>14</v>
      </c>
      <c r="G814" s="41" t="s">
        <v>151</v>
      </c>
      <c r="H814" s="44"/>
      <c r="I814" s="44" t="s">
        <v>15</v>
      </c>
      <c r="J814" s="44"/>
      <c r="K814" t="s">
        <v>19</v>
      </c>
      <c r="L814"/>
    </row>
    <row r="815" spans="1:12" s="52" customFormat="1" ht="48" customHeight="1" x14ac:dyDescent="0.3">
      <c r="A815"/>
      <c r="B815" s="36" t="s">
        <v>136</v>
      </c>
      <c r="C815" s="37" t="s">
        <v>17</v>
      </c>
      <c r="D815" s="38"/>
      <c r="E815" s="39" t="s">
        <v>13</v>
      </c>
      <c r="F815" s="40" t="s">
        <v>14</v>
      </c>
      <c r="G815" s="41" t="s">
        <v>137</v>
      </c>
      <c r="H815" s="44"/>
      <c r="I815" s="44" t="s">
        <v>15</v>
      </c>
      <c r="J815" s="44"/>
      <c r="K815" t="s">
        <v>19</v>
      </c>
      <c r="L815"/>
    </row>
    <row r="816" spans="1:12" s="52" customFormat="1" ht="48" customHeight="1" x14ac:dyDescent="0.3">
      <c r="A816"/>
      <c r="B816" s="36" t="s">
        <v>162</v>
      </c>
      <c r="C816" s="37" t="s">
        <v>17</v>
      </c>
      <c r="D816" s="38"/>
      <c r="E816" s="39" t="s">
        <v>13</v>
      </c>
      <c r="F816" s="40" t="s">
        <v>14</v>
      </c>
      <c r="G816" s="41" t="s">
        <v>163</v>
      </c>
      <c r="H816" s="44"/>
      <c r="I816" s="44" t="s">
        <v>15</v>
      </c>
      <c r="J816" s="44"/>
      <c r="K816" t="s">
        <v>19</v>
      </c>
      <c r="L816"/>
    </row>
    <row r="817" spans="1:12" s="52" customFormat="1" ht="48" customHeight="1" x14ac:dyDescent="0.3">
      <c r="A817"/>
      <c r="B817" s="36" t="s">
        <v>160</v>
      </c>
      <c r="C817" s="37" t="s">
        <v>17</v>
      </c>
      <c r="D817" s="38"/>
      <c r="E817" s="39" t="s">
        <v>13</v>
      </c>
      <c r="F817" s="40" t="s">
        <v>14</v>
      </c>
      <c r="G817" s="41" t="s">
        <v>161</v>
      </c>
      <c r="H817" s="44"/>
      <c r="I817" s="44" t="s">
        <v>15</v>
      </c>
      <c r="J817" s="44"/>
      <c r="K817" t="s">
        <v>19</v>
      </c>
      <c r="L817"/>
    </row>
    <row r="818" spans="1:12" s="52" customFormat="1" ht="48" customHeight="1" x14ac:dyDescent="0.3">
      <c r="A818"/>
      <c r="B818" s="36" t="s">
        <v>146</v>
      </c>
      <c r="C818" s="37" t="s">
        <v>17</v>
      </c>
      <c r="D818" s="42" t="s">
        <v>17</v>
      </c>
      <c r="E818" s="39" t="s">
        <v>13</v>
      </c>
      <c r="F818" s="40" t="s">
        <v>14</v>
      </c>
      <c r="G818" s="41" t="s">
        <v>147</v>
      </c>
      <c r="H818" s="44"/>
      <c r="I818" s="44" t="s">
        <v>15</v>
      </c>
      <c r="J818" s="44"/>
      <c r="K818" t="s">
        <v>19</v>
      </c>
      <c r="L818"/>
    </row>
    <row r="819" spans="1:12" s="52" customFormat="1" ht="48" customHeight="1" x14ac:dyDescent="0.3">
      <c r="B819" s="36" t="s">
        <v>134</v>
      </c>
      <c r="C819" s="68" t="s">
        <v>17</v>
      </c>
      <c r="D819" s="38"/>
      <c r="E819" s="39" t="s">
        <v>13</v>
      </c>
      <c r="F819" s="40" t="s">
        <v>14</v>
      </c>
      <c r="G819" s="41" t="s">
        <v>135</v>
      </c>
      <c r="H819" s="44"/>
      <c r="I819" s="44" t="s">
        <v>15</v>
      </c>
      <c r="J819" s="44"/>
      <c r="K819" t="s">
        <v>19</v>
      </c>
    </row>
    <row r="820" spans="1:12" s="52" customFormat="1" ht="48" customHeight="1" x14ac:dyDescent="0.3">
      <c r="B820" s="36" t="s">
        <v>158</v>
      </c>
      <c r="C820" s="54" t="s">
        <v>17</v>
      </c>
      <c r="D820" s="38"/>
      <c r="E820" s="39" t="s">
        <v>13</v>
      </c>
      <c r="F820" s="40" t="s">
        <v>14</v>
      </c>
      <c r="G820" s="41" t="s">
        <v>159</v>
      </c>
      <c r="H820" s="44"/>
      <c r="I820" s="44" t="s">
        <v>15</v>
      </c>
      <c r="J820" s="44"/>
      <c r="K820" t="s">
        <v>23</v>
      </c>
    </row>
    <row r="821" spans="1:12" s="52" customFormat="1" ht="48" customHeight="1" x14ac:dyDescent="0.3">
      <c r="A821"/>
      <c r="B821" s="36" t="s">
        <v>156</v>
      </c>
      <c r="C821" s="101" t="s">
        <v>17</v>
      </c>
      <c r="D821" s="38"/>
      <c r="E821" s="39" t="s">
        <v>13</v>
      </c>
      <c r="F821" s="40" t="s">
        <v>14</v>
      </c>
      <c r="G821" s="41" t="s">
        <v>157</v>
      </c>
      <c r="H821" s="44"/>
      <c r="I821" s="44" t="s">
        <v>15</v>
      </c>
      <c r="J821" s="44"/>
      <c r="K821" t="s">
        <v>23</v>
      </c>
      <c r="L821"/>
    </row>
    <row r="822" spans="1:12" s="52" customFormat="1" ht="48" customHeight="1" x14ac:dyDescent="0.3">
      <c r="A822"/>
      <c r="B822" s="88" t="s">
        <v>1562</v>
      </c>
      <c r="C822" s="92" t="s">
        <v>17</v>
      </c>
      <c r="D822" s="89"/>
      <c r="E822" s="39" t="str">
        <f>E$809</f>
        <v>SVT + Physique-Chimie ou SVT + Maths</v>
      </c>
      <c r="F822" s="40" t="str">
        <f>F$809</f>
        <v>Maths compl. (option Tle) si Maths non conservée</v>
      </c>
      <c r="G822" s="41" t="s">
        <v>1563</v>
      </c>
      <c r="H822" s="44" t="s">
        <v>1564</v>
      </c>
      <c r="I822" s="44" t="str">
        <f>I$809</f>
        <v>SVT+PC | SVT+Maths</v>
      </c>
      <c r="J822" s="44"/>
      <c r="K822" s="100" t="s">
        <v>19</v>
      </c>
      <c r="L822"/>
    </row>
    <row r="823" spans="1:12" s="52" customFormat="1" ht="48" customHeight="1" x14ac:dyDescent="0.3"/>
    <row r="824" spans="1:12" s="52" customFormat="1" ht="48" customHeight="1" thickBot="1" x14ac:dyDescent="0.35">
      <c r="A824"/>
      <c r="B824" s="33" t="s">
        <v>1349</v>
      </c>
      <c r="C824" s="32"/>
      <c r="D824" s="66"/>
      <c r="E824" s="34" t="s">
        <v>13</v>
      </c>
      <c r="F824" s="35" t="s">
        <v>14</v>
      </c>
      <c r="G824" s="32"/>
      <c r="H824" s="43" t="s">
        <v>1350</v>
      </c>
      <c r="I824" s="43" t="s">
        <v>15</v>
      </c>
      <c r="J824" s="43"/>
      <c r="K824"/>
      <c r="L824"/>
    </row>
    <row r="825" spans="1:12" s="52" customFormat="1" ht="48" customHeight="1" x14ac:dyDescent="0.3">
      <c r="A825"/>
      <c r="B825" s="36" t="s">
        <v>168</v>
      </c>
      <c r="C825" s="37" t="s">
        <v>17</v>
      </c>
      <c r="D825" s="38"/>
      <c r="E825" s="39" t="s">
        <v>13</v>
      </c>
      <c r="F825" s="40" t="s">
        <v>14</v>
      </c>
      <c r="G825" s="41" t="s">
        <v>169</v>
      </c>
      <c r="H825" s="44"/>
      <c r="I825" s="44" t="s">
        <v>15</v>
      </c>
      <c r="J825" s="44"/>
      <c r="K825" t="s">
        <v>23</v>
      </c>
      <c r="L825"/>
    </row>
    <row r="826" spans="1:12" s="52" customFormat="1" ht="48" customHeight="1" x14ac:dyDescent="0.3">
      <c r="A826"/>
      <c r="B826" s="36" t="s">
        <v>144</v>
      </c>
      <c r="C826" s="101" t="s">
        <v>17</v>
      </c>
      <c r="D826" s="38"/>
      <c r="E826" s="39" t="s">
        <v>13</v>
      </c>
      <c r="F826" s="40" t="s">
        <v>14</v>
      </c>
      <c r="G826" s="41" t="s">
        <v>145</v>
      </c>
      <c r="H826" s="44"/>
      <c r="I826" s="44" t="s">
        <v>15</v>
      </c>
      <c r="J826" s="44"/>
      <c r="K826" t="s">
        <v>19</v>
      </c>
      <c r="L826"/>
    </row>
    <row r="827" spans="1:12" s="52" customFormat="1" ht="48" customHeight="1" x14ac:dyDescent="0.3">
      <c r="A827"/>
      <c r="B827" s="88" t="s">
        <v>1449</v>
      </c>
      <c r="C827" s="92" t="s">
        <v>17</v>
      </c>
      <c r="D827" s="89"/>
      <c r="E827" s="39" t="str">
        <f>E$824</f>
        <v>SVT + Physique-Chimie ou SVT + Maths</v>
      </c>
      <c r="F827" s="40" t="str">
        <f>F$824</f>
        <v>Maths compl. (option Tle) si Maths non conservée</v>
      </c>
      <c r="G827" s="41" t="s">
        <v>1450</v>
      </c>
      <c r="H827" s="44" t="s">
        <v>1451</v>
      </c>
      <c r="I827" s="44" t="str">
        <f>I$824</f>
        <v>SVT+PC | SVT+Maths</v>
      </c>
      <c r="J827" s="44"/>
      <c r="K827" s="100" t="s">
        <v>19</v>
      </c>
      <c r="L827"/>
    </row>
    <row r="828" spans="1:12" s="52" customFormat="1" ht="48" customHeight="1" x14ac:dyDescent="0.3">
      <c r="A828"/>
      <c r="B828" s="36" t="s">
        <v>166</v>
      </c>
      <c r="C828" s="91" t="s">
        <v>17</v>
      </c>
      <c r="D828" s="38"/>
      <c r="E828" s="39" t="s">
        <v>13</v>
      </c>
      <c r="F828" s="40" t="s">
        <v>14</v>
      </c>
      <c r="G828" s="41" t="s">
        <v>167</v>
      </c>
      <c r="H828" s="44"/>
      <c r="I828" s="44" t="s">
        <v>15</v>
      </c>
      <c r="J828" s="44"/>
      <c r="K828" t="s">
        <v>19</v>
      </c>
      <c r="L828"/>
    </row>
    <row r="829" spans="1:12" s="52" customFormat="1" ht="48" customHeight="1" x14ac:dyDescent="0.3">
      <c r="A829"/>
      <c r="B829" s="36" t="s">
        <v>148</v>
      </c>
      <c r="C829" s="37" t="s">
        <v>17</v>
      </c>
      <c r="D829" s="38"/>
      <c r="E829" s="39" t="s">
        <v>13</v>
      </c>
      <c r="F829" s="40" t="s">
        <v>14</v>
      </c>
      <c r="G829" s="41" t="s">
        <v>149</v>
      </c>
      <c r="H829" s="44"/>
      <c r="I829" s="44" t="s">
        <v>15</v>
      </c>
      <c r="J829" s="44"/>
      <c r="K829" s="87" t="s">
        <v>19</v>
      </c>
      <c r="L829" s="87"/>
    </row>
    <row r="830" spans="1:12" s="52" customFormat="1" ht="48" customHeight="1" x14ac:dyDescent="0.3">
      <c r="A830"/>
      <c r="B830" s="36" t="s">
        <v>170</v>
      </c>
      <c r="C830" s="37" t="s">
        <v>17</v>
      </c>
      <c r="D830" s="38"/>
      <c r="E830" s="39" t="s">
        <v>13</v>
      </c>
      <c r="F830" s="40" t="s">
        <v>14</v>
      </c>
      <c r="G830" s="41" t="s">
        <v>171</v>
      </c>
      <c r="H830" s="44"/>
      <c r="I830" s="44" t="s">
        <v>15</v>
      </c>
      <c r="J830" s="44"/>
      <c r="K830" t="s">
        <v>19</v>
      </c>
      <c r="L830"/>
    </row>
    <row r="831" spans="1:12" s="52" customFormat="1" ht="48" customHeight="1" x14ac:dyDescent="0.3">
      <c r="A831"/>
      <c r="B831" s="36" t="s">
        <v>176</v>
      </c>
      <c r="C831" s="37" t="s">
        <v>17</v>
      </c>
      <c r="D831" s="38"/>
      <c r="E831" s="39" t="s">
        <v>13</v>
      </c>
      <c r="F831" s="40" t="s">
        <v>14</v>
      </c>
      <c r="G831" s="41" t="s">
        <v>177</v>
      </c>
      <c r="H831" s="44"/>
      <c r="I831" s="44" t="s">
        <v>15</v>
      </c>
      <c r="J831" s="44"/>
      <c r="K831" t="s">
        <v>19</v>
      </c>
      <c r="L831"/>
    </row>
    <row r="832" spans="1:12" s="52" customFormat="1" ht="48" customHeight="1" x14ac:dyDescent="0.3">
      <c r="A832"/>
      <c r="B832" s="36" t="s">
        <v>164</v>
      </c>
      <c r="C832" s="37" t="s">
        <v>17</v>
      </c>
      <c r="D832" s="42" t="s">
        <v>17</v>
      </c>
      <c r="E832" s="39" t="s">
        <v>13</v>
      </c>
      <c r="F832" s="40" t="s">
        <v>14</v>
      </c>
      <c r="G832" s="41" t="s">
        <v>165</v>
      </c>
      <c r="H832" s="44"/>
      <c r="I832" s="44" t="s">
        <v>15</v>
      </c>
      <c r="J832" s="44"/>
      <c r="K832" t="s">
        <v>19</v>
      </c>
      <c r="L832"/>
    </row>
    <row r="833" spans="1:12" s="52" customFormat="1" ht="48" customHeight="1" x14ac:dyDescent="0.3">
      <c r="A833"/>
      <c r="B833" s="36" t="s">
        <v>138</v>
      </c>
      <c r="C833" s="37" t="s">
        <v>17</v>
      </c>
      <c r="D833" s="38"/>
      <c r="E833" s="39" t="s">
        <v>13</v>
      </c>
      <c r="F833" s="40" t="s">
        <v>14</v>
      </c>
      <c r="G833" s="41" t="s">
        <v>139</v>
      </c>
      <c r="H833" s="44"/>
      <c r="I833" s="44" t="s">
        <v>15</v>
      </c>
      <c r="J833" s="44"/>
      <c r="K833" t="s">
        <v>19</v>
      </c>
      <c r="L833"/>
    </row>
    <row r="834" spans="1:12" s="52" customFormat="1" ht="48" customHeight="1" x14ac:dyDescent="0.3">
      <c r="A834"/>
      <c r="B834" s="36" t="s">
        <v>174</v>
      </c>
      <c r="C834" s="37" t="s">
        <v>17</v>
      </c>
      <c r="D834" s="38"/>
      <c r="E834" s="39" t="s">
        <v>13</v>
      </c>
      <c r="F834" s="40" t="s">
        <v>14</v>
      </c>
      <c r="G834" s="41" t="s">
        <v>175</v>
      </c>
      <c r="H834" s="44"/>
      <c r="I834" s="44" t="s">
        <v>15</v>
      </c>
      <c r="J834" s="44"/>
      <c r="K834" t="s">
        <v>38</v>
      </c>
      <c r="L834"/>
    </row>
    <row r="835" spans="1:12" s="52" customFormat="1" ht="48" customHeight="1" x14ac:dyDescent="0.3">
      <c r="A835"/>
      <c r="B835" s="36" t="s">
        <v>172</v>
      </c>
      <c r="C835" s="37" t="s">
        <v>17</v>
      </c>
      <c r="D835" s="38"/>
      <c r="E835" s="39" t="s">
        <v>13</v>
      </c>
      <c r="F835" s="40" t="s">
        <v>14</v>
      </c>
      <c r="G835" s="41" t="s">
        <v>173</v>
      </c>
      <c r="H835" s="44"/>
      <c r="I835" s="44" t="s">
        <v>15</v>
      </c>
      <c r="J835" s="44"/>
      <c r="K835" t="s">
        <v>19</v>
      </c>
      <c r="L835"/>
    </row>
    <row r="836" spans="1:12" s="52" customFormat="1" ht="48" customHeight="1" x14ac:dyDescent="0.3">
      <c r="A836"/>
      <c r="B836" s="36" t="s">
        <v>142</v>
      </c>
      <c r="C836" s="37" t="s">
        <v>17</v>
      </c>
      <c r="D836" s="38"/>
      <c r="E836" s="39" t="s">
        <v>13</v>
      </c>
      <c r="F836" s="40" t="s">
        <v>14</v>
      </c>
      <c r="G836" s="41" t="s">
        <v>143</v>
      </c>
      <c r="H836" s="44"/>
      <c r="I836" s="44" t="s">
        <v>15</v>
      </c>
      <c r="J836" s="44"/>
      <c r="K836" t="s">
        <v>19</v>
      </c>
      <c r="L836"/>
    </row>
    <row r="837" spans="1:12" s="52" customFormat="1" ht="48" customHeight="1" x14ac:dyDescent="0.3"/>
    <row r="838" spans="1:12" s="52" customFormat="1" ht="48" customHeight="1" thickBot="1" x14ac:dyDescent="0.35">
      <c r="B838" s="72" t="s">
        <v>1351</v>
      </c>
      <c r="C838" s="32"/>
      <c r="D838" s="32"/>
      <c r="E838" s="34" t="s">
        <v>419</v>
      </c>
      <c r="F838" s="35"/>
      <c r="G838" s="32"/>
      <c r="H838" s="43" t="s">
        <v>1352</v>
      </c>
      <c r="I838" s="43" t="s">
        <v>421</v>
      </c>
      <c r="J838" s="43"/>
    </row>
    <row r="839" spans="1:12" s="52" customFormat="1" ht="48" customHeight="1" x14ac:dyDescent="0.3">
      <c r="B839" s="36" t="s">
        <v>472</v>
      </c>
      <c r="C839" s="54" t="s">
        <v>17</v>
      </c>
      <c r="D839" s="38"/>
      <c r="E839" s="39" t="s">
        <v>419</v>
      </c>
      <c r="F839" s="40"/>
      <c r="G839" s="41" t="s">
        <v>473</v>
      </c>
      <c r="H839" s="53"/>
      <c r="I839" s="53" t="s">
        <v>421</v>
      </c>
      <c r="J839" s="53"/>
      <c r="K839" t="s">
        <v>19</v>
      </c>
    </row>
    <row r="840" spans="1:12" s="52" customFormat="1" ht="48" customHeight="1" x14ac:dyDescent="0.3">
      <c r="B840" s="36" t="s">
        <v>474</v>
      </c>
      <c r="C840" s="54" t="s">
        <v>17</v>
      </c>
      <c r="D840" s="38"/>
      <c r="E840" s="39" t="s">
        <v>419</v>
      </c>
      <c r="F840" s="40"/>
      <c r="G840" s="41" t="s">
        <v>475</v>
      </c>
      <c r="H840" s="53"/>
      <c r="I840" s="53" t="s">
        <v>421</v>
      </c>
      <c r="J840" s="53"/>
      <c r="K840" t="s">
        <v>19</v>
      </c>
    </row>
    <row r="841" spans="1:12" s="52" customFormat="1" ht="48" customHeight="1" x14ac:dyDescent="0.3">
      <c r="B841" s="36" t="s">
        <v>470</v>
      </c>
      <c r="C841" s="54" t="s">
        <v>17</v>
      </c>
      <c r="D841" s="38"/>
      <c r="E841" s="39" t="s">
        <v>465</v>
      </c>
      <c r="F841" s="40" t="s">
        <v>466</v>
      </c>
      <c r="G841" s="41" t="s">
        <v>471</v>
      </c>
      <c r="H841" s="53"/>
      <c r="I841" s="53" t="s">
        <v>468</v>
      </c>
      <c r="J841" s="53" t="s">
        <v>469</v>
      </c>
      <c r="K841" t="s">
        <v>23</v>
      </c>
    </row>
    <row r="842" spans="1:12" s="52" customFormat="1" ht="48" customHeight="1" x14ac:dyDescent="0.3">
      <c r="B842" s="36" t="s">
        <v>206</v>
      </c>
      <c r="C842" s="101" t="s">
        <v>17</v>
      </c>
      <c r="D842" s="38"/>
      <c r="E842" s="39" t="s">
        <v>419</v>
      </c>
      <c r="F842" s="40"/>
      <c r="G842" s="41" t="s">
        <v>207</v>
      </c>
      <c r="H842" s="44"/>
      <c r="I842" s="44" t="s">
        <v>421</v>
      </c>
      <c r="J842" s="44"/>
      <c r="K842" t="s">
        <v>19</v>
      </c>
    </row>
    <row r="843" spans="1:12" s="52" customFormat="1" ht="48" customHeight="1" x14ac:dyDescent="0.3">
      <c r="B843" s="88" t="s">
        <v>1437</v>
      </c>
      <c r="C843" s="94" t="s">
        <v>17</v>
      </c>
      <c r="D843" s="89"/>
      <c r="E843" s="39" t="str">
        <f>E$838</f>
        <v>SVT + Physique-Chimie ou SVT + HGGSP</v>
      </c>
      <c r="F843" s="40"/>
      <c r="G843" s="41" t="s">
        <v>1438</v>
      </c>
      <c r="H843" s="44" t="s">
        <v>1439</v>
      </c>
      <c r="I843" s="44" t="str">
        <f>I$838</f>
        <v>SVT+PC | SVT+HGGSP</v>
      </c>
      <c r="J843" s="44"/>
      <c r="K843" s="100" t="s">
        <v>19</v>
      </c>
    </row>
    <row r="844" spans="1:12" s="52" customFormat="1" ht="48" customHeight="1" x14ac:dyDescent="0.3">
      <c r="B844" s="88" t="s">
        <v>1492</v>
      </c>
      <c r="C844" s="92" t="s">
        <v>17</v>
      </c>
      <c r="D844" s="89"/>
      <c r="E844" s="39" t="str">
        <f>E$838</f>
        <v>SVT + Physique-Chimie ou SVT + HGGSP</v>
      </c>
      <c r="F844" s="40"/>
      <c r="G844" s="41" t="s">
        <v>1493</v>
      </c>
      <c r="H844" s="44" t="s">
        <v>1494</v>
      </c>
      <c r="I844" s="44" t="str">
        <f>I$838</f>
        <v>SVT+PC | SVT+HGGSP</v>
      </c>
      <c r="J844" s="44"/>
      <c r="K844" s="100" t="s">
        <v>19</v>
      </c>
    </row>
    <row r="845" spans="1:12" s="52" customFormat="1" ht="48" customHeight="1" x14ac:dyDescent="0.3">
      <c r="B845" s="36" t="s">
        <v>458</v>
      </c>
      <c r="C845" s="122" t="s">
        <v>17</v>
      </c>
      <c r="D845" s="38"/>
      <c r="E845" s="39" t="s">
        <v>419</v>
      </c>
      <c r="F845" s="40"/>
      <c r="G845" s="41" t="s">
        <v>459</v>
      </c>
      <c r="H845" s="44"/>
      <c r="I845" s="44" t="s">
        <v>421</v>
      </c>
      <c r="J845" s="44"/>
      <c r="K845" t="s">
        <v>19</v>
      </c>
    </row>
    <row r="846" spans="1:12" s="52" customFormat="1" ht="48" customHeight="1" x14ac:dyDescent="0.3">
      <c r="B846" s="36" t="s">
        <v>512</v>
      </c>
      <c r="C846" s="54" t="s">
        <v>17</v>
      </c>
      <c r="D846" s="38"/>
      <c r="E846" s="39" t="s">
        <v>419</v>
      </c>
      <c r="F846" s="40"/>
      <c r="G846" s="41" t="s">
        <v>513</v>
      </c>
      <c r="H846" s="44"/>
      <c r="I846" s="44" t="s">
        <v>421</v>
      </c>
      <c r="J846" s="44"/>
      <c r="K846" t="s">
        <v>71</v>
      </c>
    </row>
    <row r="847" spans="1:12" s="52" customFormat="1" ht="48" customHeight="1" x14ac:dyDescent="0.3">
      <c r="B847" s="36" t="s">
        <v>462</v>
      </c>
      <c r="C847" s="54" t="s">
        <v>17</v>
      </c>
      <c r="D847" s="38"/>
      <c r="E847" s="39" t="s">
        <v>419</v>
      </c>
      <c r="F847" s="40"/>
      <c r="G847" s="41" t="s">
        <v>463</v>
      </c>
      <c r="H847" s="44"/>
      <c r="I847" s="44" t="s">
        <v>421</v>
      </c>
      <c r="J847" s="44"/>
      <c r="K847" t="s">
        <v>19</v>
      </c>
    </row>
    <row r="848" spans="1:12" s="52" customFormat="1" ht="48" customHeight="1" x14ac:dyDescent="0.3">
      <c r="B848" s="36" t="s">
        <v>464</v>
      </c>
      <c r="C848" s="54" t="s">
        <v>17</v>
      </c>
      <c r="D848" s="38"/>
      <c r="E848" s="39" t="s">
        <v>465</v>
      </c>
      <c r="F848" s="40" t="s">
        <v>466</v>
      </c>
      <c r="G848" s="41" t="s">
        <v>467</v>
      </c>
      <c r="H848" s="53"/>
      <c r="I848" s="53" t="s">
        <v>468</v>
      </c>
      <c r="J848" s="53" t="s">
        <v>469</v>
      </c>
      <c r="K848" t="s">
        <v>19</v>
      </c>
    </row>
    <row r="849" spans="1:12" s="52" customFormat="1" ht="48" customHeight="1" x14ac:dyDescent="0.3">
      <c r="B849" s="36" t="s">
        <v>487</v>
      </c>
      <c r="C849" s="54" t="s">
        <v>17</v>
      </c>
      <c r="D849" s="63" t="s">
        <v>17</v>
      </c>
      <c r="E849" s="39" t="s">
        <v>419</v>
      </c>
      <c r="F849" s="40"/>
      <c r="G849" s="41" t="s">
        <v>488</v>
      </c>
      <c r="H849" s="44"/>
      <c r="I849" s="44" t="s">
        <v>421</v>
      </c>
      <c r="J849" s="44"/>
      <c r="K849" s="87" t="s">
        <v>19</v>
      </c>
      <c r="L849" s="87"/>
    </row>
    <row r="850" spans="1:12" s="52" customFormat="1" ht="48" customHeight="1" x14ac:dyDescent="0.3">
      <c r="B850" s="36" t="s">
        <v>454</v>
      </c>
      <c r="C850" s="37" t="s">
        <v>17</v>
      </c>
      <c r="D850" s="42" t="s">
        <v>17</v>
      </c>
      <c r="E850" s="39" t="s">
        <v>419</v>
      </c>
      <c r="F850" s="40"/>
      <c r="G850" s="41" t="s">
        <v>455</v>
      </c>
      <c r="H850" s="44"/>
      <c r="I850" s="44" t="s">
        <v>421</v>
      </c>
      <c r="J850" s="44"/>
      <c r="K850" t="s">
        <v>19</v>
      </c>
    </row>
    <row r="851" spans="1:12" s="52" customFormat="1" ht="48" customHeight="1" x14ac:dyDescent="0.3">
      <c r="A851"/>
      <c r="B851" s="36" t="s">
        <v>456</v>
      </c>
      <c r="C851" s="54" t="s">
        <v>17</v>
      </c>
      <c r="D851" s="38"/>
      <c r="E851" s="39" t="s">
        <v>419</v>
      </c>
      <c r="F851" s="40"/>
      <c r="G851" s="41" t="s">
        <v>457</v>
      </c>
      <c r="H851" s="44"/>
      <c r="I851" s="44" t="s">
        <v>421</v>
      </c>
      <c r="J851" s="44"/>
      <c r="K851" t="s">
        <v>19</v>
      </c>
      <c r="L851"/>
    </row>
    <row r="852" spans="1:12" s="52" customFormat="1" ht="48" customHeight="1" x14ac:dyDescent="0.3">
      <c r="B852" s="36" t="s">
        <v>514</v>
      </c>
      <c r="C852" s="54" t="s">
        <v>17</v>
      </c>
      <c r="D852" s="38"/>
      <c r="E852" s="39" t="s">
        <v>419</v>
      </c>
      <c r="F852" s="40"/>
      <c r="G852" s="41" t="s">
        <v>515</v>
      </c>
      <c r="H852" s="44"/>
      <c r="I852" s="44" t="s">
        <v>421</v>
      </c>
      <c r="J852" s="44"/>
      <c r="K852" s="87" t="s">
        <v>19</v>
      </c>
      <c r="L852" s="87"/>
    </row>
    <row r="853" spans="1:12" s="52" customFormat="1" ht="48" customHeight="1" x14ac:dyDescent="0.3">
      <c r="B853" s="36" t="s">
        <v>460</v>
      </c>
      <c r="C853" s="37" t="s">
        <v>17</v>
      </c>
      <c r="D853" s="70" t="s">
        <v>17</v>
      </c>
      <c r="E853" s="39" t="s">
        <v>419</v>
      </c>
      <c r="F853" s="40"/>
      <c r="G853" s="41" t="s">
        <v>461</v>
      </c>
      <c r="H853" s="44"/>
      <c r="I853" s="44" t="s">
        <v>421</v>
      </c>
      <c r="J853" s="44"/>
      <c r="K853" t="s">
        <v>19</v>
      </c>
    </row>
    <row r="854" spans="1:12" s="52" customFormat="1" ht="48" customHeight="1" x14ac:dyDescent="0.3"/>
    <row r="855" spans="1:12" s="52" customFormat="1" ht="48" customHeight="1" thickBot="1" x14ac:dyDescent="0.35">
      <c r="B855" s="72" t="s">
        <v>1353</v>
      </c>
      <c r="C855" s="32"/>
      <c r="D855" s="32"/>
      <c r="E855" s="34" t="s">
        <v>419</v>
      </c>
      <c r="F855" s="35"/>
      <c r="G855" s="32"/>
      <c r="H855" s="43" t="s">
        <v>1354</v>
      </c>
      <c r="I855" s="43" t="s">
        <v>421</v>
      </c>
      <c r="J855" s="43"/>
    </row>
    <row r="856" spans="1:12" s="52" customFormat="1" ht="48" customHeight="1" x14ac:dyDescent="0.3">
      <c r="B856" s="36" t="s">
        <v>501</v>
      </c>
      <c r="C856" s="54" t="s">
        <v>17</v>
      </c>
      <c r="D856" s="38"/>
      <c r="E856" s="39" t="s">
        <v>477</v>
      </c>
      <c r="F856" s="40"/>
      <c r="G856" s="41" t="s">
        <v>502</v>
      </c>
      <c r="H856" s="44" t="s">
        <v>503</v>
      </c>
      <c r="I856" s="44" t="s">
        <v>480</v>
      </c>
      <c r="J856" s="44"/>
      <c r="K856" t="s">
        <v>38</v>
      </c>
    </row>
    <row r="857" spans="1:12" s="52" customFormat="1" ht="48" customHeight="1" x14ac:dyDescent="0.3">
      <c r="B857" s="36" t="s">
        <v>476</v>
      </c>
      <c r="C857" s="54" t="s">
        <v>17</v>
      </c>
      <c r="D857" s="38"/>
      <c r="E857" s="39" t="s">
        <v>477</v>
      </c>
      <c r="F857" s="40"/>
      <c r="G857" s="41" t="s">
        <v>478</v>
      </c>
      <c r="H857" s="44" t="s">
        <v>479</v>
      </c>
      <c r="I857" s="44" t="s">
        <v>480</v>
      </c>
      <c r="J857" s="44"/>
      <c r="K857" s="87" t="s">
        <v>38</v>
      </c>
      <c r="L857" s="87"/>
    </row>
    <row r="858" spans="1:12" s="52" customFormat="1" ht="48" customHeight="1" x14ac:dyDescent="0.3">
      <c r="B858" s="36" t="s">
        <v>492</v>
      </c>
      <c r="C858" s="54" t="s">
        <v>17</v>
      </c>
      <c r="D858" s="38"/>
      <c r="E858" s="39" t="s">
        <v>477</v>
      </c>
      <c r="F858" s="40"/>
      <c r="G858" s="41" t="s">
        <v>493</v>
      </c>
      <c r="H858" s="44" t="s">
        <v>494</v>
      </c>
      <c r="I858" s="44" t="s">
        <v>480</v>
      </c>
      <c r="J858" s="44"/>
      <c r="K858" t="s">
        <v>38</v>
      </c>
      <c r="L858" s="87"/>
    </row>
    <row r="859" spans="1:12" s="52" customFormat="1" ht="48" customHeight="1" x14ac:dyDescent="0.3">
      <c r="B859" s="36" t="s">
        <v>483</v>
      </c>
      <c r="C859" s="54" t="s">
        <v>17</v>
      </c>
      <c r="D859" s="38"/>
      <c r="E859" s="39" t="s">
        <v>419</v>
      </c>
      <c r="F859" s="40"/>
      <c r="G859" s="41" t="s">
        <v>484</v>
      </c>
      <c r="H859" s="44"/>
      <c r="I859" s="44" t="s">
        <v>421</v>
      </c>
      <c r="J859" s="44"/>
      <c r="K859" t="s">
        <v>23</v>
      </c>
    </row>
    <row r="860" spans="1:12" s="52" customFormat="1" ht="48" customHeight="1" x14ac:dyDescent="0.3">
      <c r="B860" s="36" t="s">
        <v>498</v>
      </c>
      <c r="C860" s="54" t="s">
        <v>17</v>
      </c>
      <c r="D860" s="38"/>
      <c r="E860" s="39" t="s">
        <v>477</v>
      </c>
      <c r="F860" s="40"/>
      <c r="G860" s="41" t="s">
        <v>499</v>
      </c>
      <c r="H860" s="44" t="s">
        <v>500</v>
      </c>
      <c r="I860" s="44" t="s">
        <v>480</v>
      </c>
      <c r="J860" s="44"/>
      <c r="K860" t="s">
        <v>38</v>
      </c>
    </row>
    <row r="861" spans="1:12" s="52" customFormat="1" ht="48" customHeight="1" x14ac:dyDescent="0.3">
      <c r="B861" s="36" t="s">
        <v>504</v>
      </c>
      <c r="C861" s="54" t="s">
        <v>17</v>
      </c>
      <c r="D861" s="38"/>
      <c r="E861" s="39" t="s">
        <v>477</v>
      </c>
      <c r="F861" s="40"/>
      <c r="G861" s="41" t="s">
        <v>505</v>
      </c>
      <c r="H861" s="44" t="s">
        <v>506</v>
      </c>
      <c r="I861" s="44" t="s">
        <v>480</v>
      </c>
      <c r="J861" s="44"/>
      <c r="K861" t="s">
        <v>38</v>
      </c>
    </row>
    <row r="862" spans="1:12" s="52" customFormat="1" ht="48" customHeight="1" x14ac:dyDescent="0.3">
      <c r="B862" s="36" t="s">
        <v>495</v>
      </c>
      <c r="C862" s="54" t="s">
        <v>17</v>
      </c>
      <c r="D862" s="38"/>
      <c r="E862" s="39" t="s">
        <v>477</v>
      </c>
      <c r="F862" s="40"/>
      <c r="G862" s="41" t="s">
        <v>496</v>
      </c>
      <c r="H862" s="44" t="s">
        <v>497</v>
      </c>
      <c r="I862" s="44" t="s">
        <v>480</v>
      </c>
      <c r="J862" s="44"/>
      <c r="K862" t="s">
        <v>38</v>
      </c>
    </row>
    <row r="863" spans="1:12" s="52" customFormat="1" ht="48" customHeight="1" x14ac:dyDescent="0.3">
      <c r="B863" s="36" t="s">
        <v>489</v>
      </c>
      <c r="C863" s="54" t="s">
        <v>17</v>
      </c>
      <c r="D863" s="38"/>
      <c r="E863" s="39" t="s">
        <v>477</v>
      </c>
      <c r="F863" s="40"/>
      <c r="G863" s="41" t="s">
        <v>490</v>
      </c>
      <c r="H863" s="44" t="s">
        <v>491</v>
      </c>
      <c r="I863" s="44" t="s">
        <v>480</v>
      </c>
      <c r="J863" s="44"/>
      <c r="K863" t="s">
        <v>38</v>
      </c>
    </row>
    <row r="864" spans="1:12" s="52" customFormat="1" ht="48" customHeight="1" x14ac:dyDescent="0.3">
      <c r="B864" s="36" t="s">
        <v>481</v>
      </c>
      <c r="C864" s="54" t="s">
        <v>17</v>
      </c>
      <c r="D864" s="70" t="s">
        <v>17</v>
      </c>
      <c r="E864" s="39" t="s">
        <v>419</v>
      </c>
      <c r="F864" s="40"/>
      <c r="G864" s="41" t="s">
        <v>482</v>
      </c>
      <c r="H864" s="44"/>
      <c r="I864" s="44" t="s">
        <v>421</v>
      </c>
      <c r="J864" s="44"/>
      <c r="K864" t="s">
        <v>23</v>
      </c>
    </row>
    <row r="865" spans="1:12" s="52" customFormat="1" ht="48" customHeight="1" x14ac:dyDescent="0.3">
      <c r="B865" s="36" t="s">
        <v>485</v>
      </c>
      <c r="C865" s="54" t="s">
        <v>17</v>
      </c>
      <c r="D865" s="38"/>
      <c r="E865" s="39" t="s">
        <v>419</v>
      </c>
      <c r="F865" s="40"/>
      <c r="G865" s="41" t="s">
        <v>486</v>
      </c>
      <c r="H865" s="44"/>
      <c r="I865" s="44" t="s">
        <v>421</v>
      </c>
      <c r="J865" s="44"/>
      <c r="K865" s="87" t="s">
        <v>19</v>
      </c>
      <c r="L865" s="87"/>
    </row>
    <row r="866" spans="1:12" s="52" customFormat="1" ht="48" customHeight="1" x14ac:dyDescent="0.3"/>
    <row r="867" spans="1:12" s="52" customFormat="1" ht="48" customHeight="1" thickBot="1" x14ac:dyDescent="0.35">
      <c r="B867" s="72" t="s">
        <v>1355</v>
      </c>
      <c r="C867" s="32"/>
      <c r="D867" s="32"/>
      <c r="E867" s="34" t="s">
        <v>419</v>
      </c>
      <c r="F867" s="35"/>
      <c r="G867" s="32"/>
      <c r="H867" s="43" t="s">
        <v>1356</v>
      </c>
      <c r="I867" s="43" t="s">
        <v>421</v>
      </c>
      <c r="J867" s="43"/>
    </row>
    <row r="868" spans="1:12" s="52" customFormat="1" ht="48" customHeight="1" x14ac:dyDescent="0.3">
      <c r="B868" s="36" t="s">
        <v>507</v>
      </c>
      <c r="C868" s="54" t="s">
        <v>17</v>
      </c>
      <c r="D868" s="38"/>
      <c r="E868" s="39" t="s">
        <v>419</v>
      </c>
      <c r="F868" s="40"/>
      <c r="G868" s="41" t="s">
        <v>508</v>
      </c>
      <c r="H868" s="44"/>
      <c r="I868" s="44" t="s">
        <v>421</v>
      </c>
      <c r="J868" s="44"/>
      <c r="K868" t="s">
        <v>19</v>
      </c>
    </row>
    <row r="869" spans="1:12" s="52" customFormat="1" ht="48" customHeight="1" x14ac:dyDescent="0.3">
      <c r="A869"/>
      <c r="B869" s="36" t="s">
        <v>540</v>
      </c>
      <c r="C869" s="73" t="s">
        <v>17</v>
      </c>
      <c r="D869" s="75"/>
      <c r="E869" s="65" t="s">
        <v>477</v>
      </c>
      <c r="F869" s="40"/>
      <c r="G869" s="41" t="s">
        <v>541</v>
      </c>
      <c r="H869" s="44" t="s">
        <v>542</v>
      </c>
      <c r="I869" s="44" t="s">
        <v>480</v>
      </c>
      <c r="J869" s="44"/>
      <c r="K869" s="87" t="s">
        <v>23</v>
      </c>
      <c r="L869" s="87"/>
    </row>
    <row r="870" spans="1:12" s="52" customFormat="1" ht="48" customHeight="1" x14ac:dyDescent="0.3">
      <c r="A870"/>
      <c r="B870" s="36" t="s">
        <v>543</v>
      </c>
      <c r="C870" s="73" t="s">
        <v>17</v>
      </c>
      <c r="D870" s="75"/>
      <c r="E870" s="65" t="s">
        <v>477</v>
      </c>
      <c r="F870" s="40"/>
      <c r="G870" s="41" t="s">
        <v>544</v>
      </c>
      <c r="H870" s="44" t="s">
        <v>545</v>
      </c>
      <c r="I870" s="44" t="s">
        <v>480</v>
      </c>
      <c r="J870" s="44"/>
      <c r="K870" s="87" t="s">
        <v>23</v>
      </c>
      <c r="L870" s="87"/>
    </row>
    <row r="871" spans="1:12" s="52" customFormat="1" ht="48" customHeight="1" x14ac:dyDescent="0.3">
      <c r="B871" s="36" t="s">
        <v>519</v>
      </c>
      <c r="C871" s="54" t="s">
        <v>17</v>
      </c>
      <c r="D871" s="38"/>
      <c r="E871" s="39" t="s">
        <v>477</v>
      </c>
      <c r="F871" s="40"/>
      <c r="G871" s="41" t="s">
        <v>520</v>
      </c>
      <c r="H871" s="44" t="s">
        <v>521</v>
      </c>
      <c r="I871" s="44" t="s">
        <v>480</v>
      </c>
      <c r="J871" s="44"/>
      <c r="K871" t="s">
        <v>38</v>
      </c>
    </row>
    <row r="872" spans="1:12" s="52" customFormat="1" ht="48" customHeight="1" x14ac:dyDescent="0.3">
      <c r="A872"/>
      <c r="B872" s="36" t="s">
        <v>546</v>
      </c>
      <c r="C872" s="73" t="s">
        <v>17</v>
      </c>
      <c r="D872" s="75"/>
      <c r="E872" s="65" t="s">
        <v>477</v>
      </c>
      <c r="F872" s="40"/>
      <c r="G872" s="41" t="s">
        <v>547</v>
      </c>
      <c r="H872" s="44" t="s">
        <v>511</v>
      </c>
      <c r="I872" s="44" t="s">
        <v>480</v>
      </c>
      <c r="J872" s="44"/>
      <c r="K872" t="s">
        <v>23</v>
      </c>
      <c r="L872"/>
    </row>
    <row r="873" spans="1:12" s="52" customFormat="1" ht="48" customHeight="1" x14ac:dyDescent="0.3">
      <c r="A873"/>
      <c r="B873" s="36" t="s">
        <v>530</v>
      </c>
      <c r="C873" s="54" t="s">
        <v>17</v>
      </c>
      <c r="D873" s="38"/>
      <c r="E873" s="39" t="s">
        <v>419</v>
      </c>
      <c r="F873" s="40"/>
      <c r="G873" s="41" t="s">
        <v>531</v>
      </c>
      <c r="H873" s="44"/>
      <c r="I873" s="44" t="s">
        <v>421</v>
      </c>
      <c r="J873" s="44"/>
      <c r="K873" t="s">
        <v>19</v>
      </c>
      <c r="L873"/>
    </row>
    <row r="874" spans="1:12" s="52" customFormat="1" ht="48" customHeight="1" x14ac:dyDescent="0.3">
      <c r="A874"/>
      <c r="B874" s="36" t="s">
        <v>532</v>
      </c>
      <c r="C874" s="54" t="s">
        <v>17</v>
      </c>
      <c r="D874" s="38"/>
      <c r="E874" s="39" t="s">
        <v>419</v>
      </c>
      <c r="F874" s="40"/>
      <c r="G874" s="41" t="s">
        <v>533</v>
      </c>
      <c r="H874" s="44"/>
      <c r="I874" s="44" t="s">
        <v>421</v>
      </c>
      <c r="J874" s="44"/>
      <c r="K874" t="s">
        <v>19</v>
      </c>
      <c r="L874"/>
    </row>
    <row r="875" spans="1:12" s="52" customFormat="1" ht="48" customHeight="1" x14ac:dyDescent="0.3">
      <c r="B875" s="36" t="s">
        <v>525</v>
      </c>
      <c r="C875" s="54" t="s">
        <v>17</v>
      </c>
      <c r="D875" s="74" t="s">
        <v>17</v>
      </c>
      <c r="E875" s="39" t="s">
        <v>419</v>
      </c>
      <c r="F875" s="40"/>
      <c r="G875" s="41" t="s">
        <v>526</v>
      </c>
      <c r="H875" s="44"/>
      <c r="I875" s="44" t="s">
        <v>421</v>
      </c>
      <c r="J875" s="44"/>
      <c r="K875" t="s">
        <v>19</v>
      </c>
    </row>
    <row r="876" spans="1:12" s="52" customFormat="1" ht="48" customHeight="1" x14ac:dyDescent="0.3">
      <c r="B876" s="36" t="s">
        <v>516</v>
      </c>
      <c r="C876" s="54" t="s">
        <v>17</v>
      </c>
      <c r="D876" s="38"/>
      <c r="E876" s="39" t="s">
        <v>477</v>
      </c>
      <c r="F876" s="40"/>
      <c r="G876" s="41" t="s">
        <v>517</v>
      </c>
      <c r="H876" s="44" t="s">
        <v>518</v>
      </c>
      <c r="I876" s="44" t="s">
        <v>480</v>
      </c>
      <c r="J876" s="44"/>
      <c r="K876" t="s">
        <v>38</v>
      </c>
    </row>
    <row r="877" spans="1:12" s="52" customFormat="1" ht="48" customHeight="1" x14ac:dyDescent="0.3">
      <c r="B877" s="36" t="s">
        <v>538</v>
      </c>
      <c r="C877" s="73" t="s">
        <v>17</v>
      </c>
      <c r="D877" s="75"/>
      <c r="E877" s="65" t="s">
        <v>419</v>
      </c>
      <c r="F877" s="40"/>
      <c r="G877" s="41" t="s">
        <v>539</v>
      </c>
      <c r="H877" s="44"/>
      <c r="I877" s="44" t="s">
        <v>421</v>
      </c>
      <c r="J877" s="44"/>
      <c r="K877" t="s">
        <v>19</v>
      </c>
    </row>
    <row r="878" spans="1:12" s="52" customFormat="1" ht="48" customHeight="1" x14ac:dyDescent="0.3">
      <c r="B878" s="36" t="s">
        <v>536</v>
      </c>
      <c r="C878" s="54" t="s">
        <v>17</v>
      </c>
      <c r="D878" s="38"/>
      <c r="E878" s="39" t="s">
        <v>419</v>
      </c>
      <c r="F878" s="40"/>
      <c r="G878" s="41" t="s">
        <v>537</v>
      </c>
      <c r="H878" s="44"/>
      <c r="I878" s="44" t="s">
        <v>421</v>
      </c>
      <c r="J878" s="44"/>
      <c r="K878" t="s">
        <v>19</v>
      </c>
    </row>
    <row r="879" spans="1:12" s="52" customFormat="1" ht="48" customHeight="1" x14ac:dyDescent="0.3">
      <c r="A879"/>
      <c r="B879" s="36" t="s">
        <v>534</v>
      </c>
      <c r="C879" s="54" t="s">
        <v>17</v>
      </c>
      <c r="D879" s="38"/>
      <c r="E879" s="39" t="s">
        <v>419</v>
      </c>
      <c r="F879" s="40"/>
      <c r="G879" s="41" t="s">
        <v>535</v>
      </c>
      <c r="H879" s="44"/>
      <c r="I879" s="44" t="s">
        <v>421</v>
      </c>
      <c r="J879" s="44"/>
      <c r="K879" t="s">
        <v>19</v>
      </c>
      <c r="L879"/>
    </row>
    <row r="880" spans="1:12" s="52" customFormat="1" ht="48" customHeight="1" x14ac:dyDescent="0.3">
      <c r="B880" s="36" t="s">
        <v>527</v>
      </c>
      <c r="C880" s="54" t="s">
        <v>17</v>
      </c>
      <c r="D880" s="38"/>
      <c r="E880" s="39" t="s">
        <v>477</v>
      </c>
      <c r="F880" s="40"/>
      <c r="G880" s="41" t="s">
        <v>528</v>
      </c>
      <c r="H880" s="44" t="s">
        <v>529</v>
      </c>
      <c r="I880" s="44" t="s">
        <v>480</v>
      </c>
      <c r="J880" s="44"/>
      <c r="K880" t="s">
        <v>38</v>
      </c>
    </row>
    <row r="881" spans="1:12" s="52" customFormat="1" ht="48" customHeight="1" x14ac:dyDescent="0.3">
      <c r="B881" s="36" t="s">
        <v>522</v>
      </c>
      <c r="C881" s="54" t="s">
        <v>17</v>
      </c>
      <c r="D881" s="38"/>
      <c r="E881" s="39" t="s">
        <v>477</v>
      </c>
      <c r="F881" s="40"/>
      <c r="G881" s="41" t="s">
        <v>523</v>
      </c>
      <c r="H881" s="44" t="s">
        <v>524</v>
      </c>
      <c r="I881" s="44" t="s">
        <v>480</v>
      </c>
      <c r="J881" s="44"/>
      <c r="K881" t="s">
        <v>23</v>
      </c>
    </row>
    <row r="882" spans="1:12" s="52" customFormat="1" ht="48" customHeight="1" x14ac:dyDescent="0.3">
      <c r="B882" s="36" t="s">
        <v>509</v>
      </c>
      <c r="C882" s="54" t="s">
        <v>17</v>
      </c>
      <c r="D882" s="38"/>
      <c r="E882" s="39" t="s">
        <v>477</v>
      </c>
      <c r="F882" s="40"/>
      <c r="G882" s="41" t="s">
        <v>510</v>
      </c>
      <c r="H882" s="44" t="s">
        <v>511</v>
      </c>
      <c r="I882" s="44" t="s">
        <v>480</v>
      </c>
      <c r="J882" s="44"/>
      <c r="K882" t="s">
        <v>23</v>
      </c>
    </row>
    <row r="883" spans="1:12" s="52" customFormat="1" ht="48" customHeight="1" x14ac:dyDescent="0.3"/>
    <row r="884" spans="1:12" s="52" customFormat="1" ht="48" customHeight="1" thickBot="1" x14ac:dyDescent="0.35">
      <c r="A884"/>
      <c r="B884" s="33" t="s">
        <v>1357</v>
      </c>
      <c r="C884" s="32"/>
      <c r="D884" s="32"/>
      <c r="E884" s="34" t="s">
        <v>13</v>
      </c>
      <c r="F884" s="35" t="s">
        <v>14</v>
      </c>
      <c r="G884" s="32"/>
      <c r="H884" s="43" t="s">
        <v>1358</v>
      </c>
      <c r="I884" s="43" t="s">
        <v>15</v>
      </c>
      <c r="J884" s="43"/>
      <c r="K884"/>
      <c r="L884"/>
    </row>
    <row r="885" spans="1:12" s="52" customFormat="1" ht="48" customHeight="1" x14ac:dyDescent="0.3">
      <c r="B885" s="36" t="s">
        <v>98</v>
      </c>
      <c r="C885" s="77" t="s">
        <v>17</v>
      </c>
      <c r="D885" s="38"/>
      <c r="E885" s="39" t="s">
        <v>99</v>
      </c>
      <c r="F885" s="40"/>
      <c r="G885" s="41" t="s">
        <v>100</v>
      </c>
      <c r="H885" s="44"/>
      <c r="I885" s="44" t="s">
        <v>101</v>
      </c>
      <c r="J885" s="44"/>
      <c r="K885" t="s">
        <v>38</v>
      </c>
    </row>
    <row r="886" spans="1:12" s="52" customFormat="1" ht="48" customHeight="1" x14ac:dyDescent="0.3">
      <c r="B886" s="36" t="s">
        <v>39</v>
      </c>
      <c r="C886" s="54" t="s">
        <v>17</v>
      </c>
      <c r="D886" s="38"/>
      <c r="E886" s="39" t="s">
        <v>40</v>
      </c>
      <c r="F886" s="40"/>
      <c r="G886" s="41" t="s">
        <v>41</v>
      </c>
      <c r="H886" s="44" t="s">
        <v>42</v>
      </c>
      <c r="I886" s="44" t="s">
        <v>43</v>
      </c>
      <c r="J886" s="44"/>
      <c r="K886" t="s">
        <v>38</v>
      </c>
    </row>
    <row r="887" spans="1:12" s="52" customFormat="1" ht="48" customHeight="1" x14ac:dyDescent="0.3">
      <c r="B887" s="36" t="s">
        <v>57</v>
      </c>
      <c r="C887" s="62" t="s">
        <v>17</v>
      </c>
      <c r="D887" s="38"/>
      <c r="E887" s="39" t="s">
        <v>13</v>
      </c>
      <c r="F887" s="40" t="s">
        <v>14</v>
      </c>
      <c r="G887" s="41" t="s">
        <v>58</v>
      </c>
      <c r="H887" s="44" t="s">
        <v>59</v>
      </c>
      <c r="I887" s="44" t="s">
        <v>15</v>
      </c>
      <c r="J887" s="44"/>
      <c r="K887" t="s">
        <v>19</v>
      </c>
    </row>
    <row r="888" spans="1:12" s="52" customFormat="1" ht="48" customHeight="1" x14ac:dyDescent="0.3">
      <c r="B888" s="36" t="s">
        <v>20</v>
      </c>
      <c r="C888" s="54" t="s">
        <v>17</v>
      </c>
      <c r="D888" s="38"/>
      <c r="E888" s="39" t="s">
        <v>13</v>
      </c>
      <c r="F888" s="40" t="s">
        <v>14</v>
      </c>
      <c r="G888" s="41" t="s">
        <v>21</v>
      </c>
      <c r="H888" s="44" t="s">
        <v>22</v>
      </c>
      <c r="I888" s="44" t="s">
        <v>15</v>
      </c>
      <c r="J888" s="44"/>
      <c r="K888" s="87" t="s">
        <v>23</v>
      </c>
      <c r="L888" s="87"/>
    </row>
    <row r="889" spans="1:12" s="52" customFormat="1" ht="48" customHeight="1" x14ac:dyDescent="0.3">
      <c r="B889" s="36" t="s">
        <v>36</v>
      </c>
      <c r="C889" s="68" t="s">
        <v>17</v>
      </c>
      <c r="D889" s="38"/>
      <c r="E889" s="39" t="s">
        <v>13</v>
      </c>
      <c r="F889" s="40" t="s">
        <v>14</v>
      </c>
      <c r="G889" s="41" t="s">
        <v>37</v>
      </c>
      <c r="H889" s="44"/>
      <c r="I889" s="44" t="s">
        <v>15</v>
      </c>
      <c r="J889" s="44"/>
      <c r="K889" t="s">
        <v>38</v>
      </c>
    </row>
    <row r="890" spans="1:12" s="52" customFormat="1" ht="48" customHeight="1" x14ac:dyDescent="0.3">
      <c r="B890" s="36" t="s">
        <v>44</v>
      </c>
      <c r="C890" s="54" t="s">
        <v>17</v>
      </c>
      <c r="D890" s="38"/>
      <c r="E890" s="39" t="s">
        <v>40</v>
      </c>
      <c r="F890" s="40"/>
      <c r="G890" s="41" t="s">
        <v>45</v>
      </c>
      <c r="H890" s="44" t="s">
        <v>46</v>
      </c>
      <c r="I890" s="44" t="s">
        <v>43</v>
      </c>
      <c r="J890" s="44"/>
      <c r="K890" t="s">
        <v>38</v>
      </c>
    </row>
    <row r="891" spans="1:12" s="52" customFormat="1" ht="48" customHeight="1" x14ac:dyDescent="0.3">
      <c r="B891" s="36" t="s">
        <v>50</v>
      </c>
      <c r="C891" s="54" t="s">
        <v>17</v>
      </c>
      <c r="D891" s="38"/>
      <c r="E891" s="39" t="s">
        <v>40</v>
      </c>
      <c r="F891" s="40"/>
      <c r="G891" s="41" t="s">
        <v>51</v>
      </c>
      <c r="H891" s="71" t="s">
        <v>52</v>
      </c>
      <c r="I891" s="44" t="s">
        <v>43</v>
      </c>
      <c r="J891" s="44"/>
      <c r="K891" t="s">
        <v>23</v>
      </c>
    </row>
    <row r="892" spans="1:12" s="52" customFormat="1" ht="48" customHeight="1" x14ac:dyDescent="0.3">
      <c r="B892" s="36" t="s">
        <v>47</v>
      </c>
      <c r="C892" s="54" t="s">
        <v>17</v>
      </c>
      <c r="D892" s="38"/>
      <c r="E892" s="39" t="s">
        <v>40</v>
      </c>
      <c r="F892" s="40"/>
      <c r="G892" s="41" t="s">
        <v>48</v>
      </c>
      <c r="H892" s="71" t="s">
        <v>49</v>
      </c>
      <c r="I892" s="44" t="s">
        <v>43</v>
      </c>
      <c r="J892" s="44"/>
      <c r="K892" t="s">
        <v>23</v>
      </c>
    </row>
    <row r="893" spans="1:12" s="52" customFormat="1" ht="48" customHeight="1" x14ac:dyDescent="0.3">
      <c r="A893"/>
      <c r="B893" s="36" t="s">
        <v>16</v>
      </c>
      <c r="C893" s="37" t="s">
        <v>17</v>
      </c>
      <c r="D893" s="38"/>
      <c r="E893" s="39" t="s">
        <v>13</v>
      </c>
      <c r="F893" s="40" t="s">
        <v>14</v>
      </c>
      <c r="G893" s="41" t="s">
        <v>18</v>
      </c>
      <c r="H893" s="44"/>
      <c r="I893" s="44" t="s">
        <v>15</v>
      </c>
      <c r="J893" s="44"/>
      <c r="K893" t="s">
        <v>19</v>
      </c>
      <c r="L893"/>
    </row>
    <row r="894" spans="1:12" s="52" customFormat="1" ht="48" customHeight="1" x14ac:dyDescent="0.3">
      <c r="G894" s="166" t="s">
        <v>1692</v>
      </c>
    </row>
    <row r="895" spans="1:12" s="52" customFormat="1" ht="48" customHeight="1" thickBot="1" x14ac:dyDescent="0.35">
      <c r="A895"/>
      <c r="B895" s="33" t="s">
        <v>1359</v>
      </c>
      <c r="C895" s="32"/>
      <c r="D895" s="32"/>
      <c r="E895" s="34" t="s">
        <v>13</v>
      </c>
      <c r="F895" s="35" t="s">
        <v>14</v>
      </c>
      <c r="G895" s="32"/>
      <c r="H895" s="43" t="s">
        <v>1360</v>
      </c>
      <c r="I895" s="43" t="s">
        <v>15</v>
      </c>
      <c r="J895" s="43"/>
      <c r="K895"/>
      <c r="L895"/>
    </row>
    <row r="896" spans="1:12" s="52" customFormat="1" ht="48" customHeight="1" x14ac:dyDescent="0.3">
      <c r="B896" s="36" t="s">
        <v>68</v>
      </c>
      <c r="C896" s="54" t="s">
        <v>17</v>
      </c>
      <c r="D896" s="38"/>
      <c r="E896" s="39" t="s">
        <v>13</v>
      </c>
      <c r="F896" s="40" t="s">
        <v>14</v>
      </c>
      <c r="G896" s="41" t="s">
        <v>69</v>
      </c>
      <c r="H896" s="44" t="s">
        <v>70</v>
      </c>
      <c r="I896" s="44" t="s">
        <v>15</v>
      </c>
      <c r="J896" s="44"/>
      <c r="K896" t="s">
        <v>71</v>
      </c>
    </row>
    <row r="897" spans="1:12" s="52" customFormat="1" ht="48" customHeight="1" x14ac:dyDescent="0.3">
      <c r="B897" s="36" t="s">
        <v>106</v>
      </c>
      <c r="C897" s="77" t="s">
        <v>17</v>
      </c>
      <c r="D897" s="38"/>
      <c r="E897" s="39" t="s">
        <v>13</v>
      </c>
      <c r="F897" s="40" t="s">
        <v>14</v>
      </c>
      <c r="G897" s="41" t="s">
        <v>107</v>
      </c>
      <c r="H897" s="44"/>
      <c r="I897" s="44" t="s">
        <v>15</v>
      </c>
      <c r="J897" s="44"/>
      <c r="K897" t="s">
        <v>19</v>
      </c>
    </row>
    <row r="898" spans="1:12" s="52" customFormat="1" ht="48" customHeight="1" x14ac:dyDescent="0.3">
      <c r="B898" s="36" t="s">
        <v>96</v>
      </c>
      <c r="C898" s="77" t="s">
        <v>17</v>
      </c>
      <c r="D898" s="38"/>
      <c r="E898" s="39" t="s">
        <v>13</v>
      </c>
      <c r="F898" s="40" t="s">
        <v>14</v>
      </c>
      <c r="G898" s="41" t="s">
        <v>97</v>
      </c>
      <c r="H898" s="44"/>
      <c r="I898" s="44" t="s">
        <v>15</v>
      </c>
      <c r="J898" s="44"/>
      <c r="K898" t="s">
        <v>19</v>
      </c>
    </row>
    <row r="899" spans="1:12" s="52" customFormat="1" ht="48" customHeight="1" x14ac:dyDescent="0.3">
      <c r="B899" s="36" t="s">
        <v>53</v>
      </c>
      <c r="C899" s="77" t="s">
        <v>17</v>
      </c>
      <c r="D899" s="70" t="s">
        <v>17</v>
      </c>
      <c r="E899" s="39" t="s">
        <v>13</v>
      </c>
      <c r="F899" s="40" t="s">
        <v>14</v>
      </c>
      <c r="G899" s="41" t="s">
        <v>54</v>
      </c>
      <c r="H899" s="44"/>
      <c r="I899" s="44" t="s">
        <v>15</v>
      </c>
      <c r="J899" s="44"/>
      <c r="K899" t="s">
        <v>19</v>
      </c>
    </row>
    <row r="900" spans="1:12" s="52" customFormat="1" ht="48" customHeight="1" x14ac:dyDescent="0.3">
      <c r="B900" s="36" t="s">
        <v>75</v>
      </c>
      <c r="C900" s="54" t="s">
        <v>17</v>
      </c>
      <c r="D900" s="38"/>
      <c r="E900" s="39" t="str">
        <f t="shared" ref="E900" si="32">E899</f>
        <v>SVT + Physique-Chimie ou SVT + Maths</v>
      </c>
      <c r="F900" s="40" t="str">
        <f t="shared" ref="F900" si="33">F899</f>
        <v>Maths compl. (option Tle) si Maths non conservée</v>
      </c>
      <c r="G900" s="41" t="s">
        <v>76</v>
      </c>
      <c r="H900" s="71"/>
      <c r="I900" s="44" t="str">
        <f>I899</f>
        <v>SVT+PC | SVT+Maths</v>
      </c>
      <c r="J900" s="44"/>
      <c r="K900" t="s">
        <v>19</v>
      </c>
    </row>
    <row r="901" spans="1:12" s="52" customFormat="1" ht="48" customHeight="1" x14ac:dyDescent="0.3">
      <c r="B901" s="36" t="s">
        <v>55</v>
      </c>
      <c r="C901" s="62" t="s">
        <v>17</v>
      </c>
      <c r="D901" s="38"/>
      <c r="E901" s="39" t="s">
        <v>13</v>
      </c>
      <c r="F901" s="40" t="s">
        <v>14</v>
      </c>
      <c r="G901" s="41" t="s">
        <v>56</v>
      </c>
      <c r="H901" s="44"/>
      <c r="I901" s="44" t="s">
        <v>15</v>
      </c>
      <c r="J901" s="44"/>
      <c r="K901" t="s">
        <v>19</v>
      </c>
    </row>
    <row r="902" spans="1:12" s="52" customFormat="1" ht="48" customHeight="1" x14ac:dyDescent="0.3">
      <c r="B902" s="36" t="s">
        <v>72</v>
      </c>
      <c r="C902" s="54" t="s">
        <v>17</v>
      </c>
      <c r="D902" s="38"/>
      <c r="E902" s="39" t="s">
        <v>13</v>
      </c>
      <c r="F902" s="40" t="s">
        <v>14</v>
      </c>
      <c r="G902" s="41" t="s">
        <v>73</v>
      </c>
      <c r="H902" s="71" t="s">
        <v>74</v>
      </c>
      <c r="I902" s="44" t="s">
        <v>15</v>
      </c>
      <c r="J902" s="44"/>
      <c r="K902" t="s">
        <v>71</v>
      </c>
    </row>
    <row r="903" spans="1:12" s="52" customFormat="1" ht="48" customHeight="1" x14ac:dyDescent="0.3">
      <c r="B903" s="36" t="s">
        <v>94</v>
      </c>
      <c r="C903" s="90" t="s">
        <v>17</v>
      </c>
      <c r="D903" s="38"/>
      <c r="E903" s="39" t="s">
        <v>13</v>
      </c>
      <c r="F903" s="40" t="s">
        <v>14</v>
      </c>
      <c r="G903" s="41" t="s">
        <v>95</v>
      </c>
      <c r="H903" s="44"/>
      <c r="I903" s="44" t="s">
        <v>15</v>
      </c>
      <c r="J903" s="44"/>
      <c r="K903" t="s">
        <v>23</v>
      </c>
    </row>
    <row r="904" spans="1:12" s="52" customFormat="1" ht="48" customHeight="1" x14ac:dyDescent="0.3">
      <c r="B904" s="88" t="s">
        <v>1663</v>
      </c>
      <c r="C904" s="162" t="s">
        <v>17</v>
      </c>
      <c r="D904" s="89"/>
      <c r="E904" s="39" t="str">
        <f>E$895</f>
        <v>SVT + Physique-Chimie ou SVT + Maths</v>
      </c>
      <c r="F904" s="40" t="str">
        <f>F$895</f>
        <v>Maths compl. (option Tle) si Maths non conservée</v>
      </c>
      <c r="G904" s="41" t="s">
        <v>1664</v>
      </c>
      <c r="H904" s="44" t="s">
        <v>1665</v>
      </c>
      <c r="I904" s="44" t="str">
        <f>I$895</f>
        <v>SVT+PC | SVT+Maths</v>
      </c>
      <c r="J904" s="44"/>
      <c r="K904" t="s">
        <v>23</v>
      </c>
    </row>
    <row r="905" spans="1:12" s="52" customFormat="1" ht="48" customHeight="1" x14ac:dyDescent="0.3">
      <c r="B905" s="88" t="s">
        <v>1681</v>
      </c>
      <c r="C905" s="94" t="s">
        <v>17</v>
      </c>
      <c r="D905" s="89"/>
      <c r="E905" s="39" t="str">
        <f>E$895</f>
        <v>SVT + Physique-Chimie ou SVT + Maths</v>
      </c>
      <c r="F905" s="40" t="str">
        <f>F$895</f>
        <v>Maths compl. (option Tle) si Maths non conservée</v>
      </c>
      <c r="G905" s="41" t="s">
        <v>1701</v>
      </c>
      <c r="H905" s="44" t="s">
        <v>1682</v>
      </c>
      <c r="I905" s="44" t="str">
        <f>I$895</f>
        <v>SVT+PC | SVT+Maths</v>
      </c>
      <c r="J905" s="44"/>
      <c r="K905" t="s">
        <v>19</v>
      </c>
    </row>
    <row r="906" spans="1:12" s="52" customFormat="1" ht="48" customHeight="1" x14ac:dyDescent="0.3">
      <c r="B906" s="88" t="s">
        <v>1708</v>
      </c>
      <c r="C906" s="92" t="s">
        <v>17</v>
      </c>
      <c r="D906" s="89"/>
      <c r="E906" s="39" t="str">
        <f>E$895</f>
        <v>SVT + Physique-Chimie ou SVT + Maths</v>
      </c>
      <c r="F906" s="40" t="str">
        <f>F$895</f>
        <v>Maths compl. (option Tle) si Maths non conservée</v>
      </c>
      <c r="G906" s="41" t="s">
        <v>1709</v>
      </c>
      <c r="H906" s="44" t="s">
        <v>1710</v>
      </c>
      <c r="I906" s="44" t="str">
        <f>I$895</f>
        <v>SVT+PC | SVT+Maths</v>
      </c>
      <c r="J906" s="44"/>
      <c r="K906" t="s">
        <v>19</v>
      </c>
    </row>
    <row r="907" spans="1:12" s="52" customFormat="1" ht="48" customHeight="1" x14ac:dyDescent="0.3"/>
    <row r="908" spans="1:12" s="52" customFormat="1" ht="48" customHeight="1" thickBot="1" x14ac:dyDescent="0.35">
      <c r="A908"/>
      <c r="B908" s="33" t="s">
        <v>1361</v>
      </c>
      <c r="C908" s="32"/>
      <c r="D908" s="32"/>
      <c r="E908" s="34" t="s">
        <v>13</v>
      </c>
      <c r="F908" s="35" t="s">
        <v>14</v>
      </c>
      <c r="G908" s="32"/>
      <c r="H908" s="43" t="s">
        <v>1362</v>
      </c>
      <c r="I908" s="43" t="s">
        <v>15</v>
      </c>
      <c r="J908" s="43"/>
      <c r="K908"/>
      <c r="L908"/>
    </row>
    <row r="909" spans="1:12" s="52" customFormat="1" ht="48" customHeight="1" x14ac:dyDescent="0.3">
      <c r="B909" s="36" t="s">
        <v>102</v>
      </c>
      <c r="C909" s="77" t="s">
        <v>17</v>
      </c>
      <c r="D909" s="38"/>
      <c r="E909" s="39" t="s">
        <v>99</v>
      </c>
      <c r="F909" s="40"/>
      <c r="G909" s="41" t="s">
        <v>103</v>
      </c>
      <c r="H909" s="44"/>
      <c r="I909" s="44" t="s">
        <v>101</v>
      </c>
      <c r="J909" s="44"/>
      <c r="K909" t="s">
        <v>19</v>
      </c>
    </row>
    <row r="910" spans="1:12" s="52" customFormat="1" ht="48" customHeight="1" x14ac:dyDescent="0.3">
      <c r="B910" s="36" t="s">
        <v>104</v>
      </c>
      <c r="C910" s="77" t="s">
        <v>17</v>
      </c>
      <c r="D910" s="38"/>
      <c r="E910" s="39" t="s">
        <v>13</v>
      </c>
      <c r="F910" s="40" t="s">
        <v>14</v>
      </c>
      <c r="G910" s="41" t="s">
        <v>105</v>
      </c>
      <c r="H910" s="44"/>
      <c r="I910" s="44" t="s">
        <v>15</v>
      </c>
      <c r="J910" s="44"/>
      <c r="K910" t="s">
        <v>19</v>
      </c>
    </row>
    <row r="911" spans="1:12" s="52" customFormat="1" ht="48" customHeight="1" x14ac:dyDescent="0.3">
      <c r="B911" s="36" t="s">
        <v>60</v>
      </c>
      <c r="C911" s="62" t="s">
        <v>17</v>
      </c>
      <c r="D911" s="38"/>
      <c r="E911" s="39" t="s">
        <v>61</v>
      </c>
      <c r="F911" s="40" t="s">
        <v>62</v>
      </c>
      <c r="G911" s="41" t="s">
        <v>63</v>
      </c>
      <c r="H911" s="44" t="s">
        <v>64</v>
      </c>
      <c r="I911" s="44" t="s">
        <v>65</v>
      </c>
      <c r="J911" s="44"/>
      <c r="K911" t="s">
        <v>19</v>
      </c>
    </row>
    <row r="912" spans="1:12" s="52" customFormat="1" ht="48" customHeight="1" x14ac:dyDescent="0.3">
      <c r="B912" s="36" t="s">
        <v>66</v>
      </c>
      <c r="C912" s="54" t="s">
        <v>17</v>
      </c>
      <c r="D912" s="38"/>
      <c r="E912" s="39" t="s">
        <v>13</v>
      </c>
      <c r="F912" s="40" t="s">
        <v>14</v>
      </c>
      <c r="G912" s="41" t="s">
        <v>67</v>
      </c>
      <c r="H912" s="44"/>
      <c r="I912" s="44" t="s">
        <v>15</v>
      </c>
      <c r="J912" s="44"/>
      <c r="K912" t="s">
        <v>23</v>
      </c>
    </row>
    <row r="913" spans="1:12" s="52" customFormat="1" ht="48" customHeight="1" x14ac:dyDescent="0.3">
      <c r="B913" s="36" t="s">
        <v>90</v>
      </c>
      <c r="C913" s="54" t="s">
        <v>17</v>
      </c>
      <c r="D913" s="38"/>
      <c r="E913" s="39" t="s">
        <v>13</v>
      </c>
      <c r="F913" s="40" t="s">
        <v>14</v>
      </c>
      <c r="G913" s="41" t="s">
        <v>91</v>
      </c>
      <c r="H913" s="44"/>
      <c r="I913" s="44" t="s">
        <v>15</v>
      </c>
      <c r="J913" s="44"/>
      <c r="K913" t="s">
        <v>19</v>
      </c>
    </row>
    <row r="914" spans="1:12" s="52" customFormat="1" ht="48" customHeight="1" x14ac:dyDescent="0.3">
      <c r="B914" s="36" t="s">
        <v>79</v>
      </c>
      <c r="C914" s="54" t="s">
        <v>17</v>
      </c>
      <c r="D914" s="38"/>
      <c r="E914" s="39" t="s">
        <v>13</v>
      </c>
      <c r="F914" s="40" t="s">
        <v>14</v>
      </c>
      <c r="G914" s="41" t="s">
        <v>80</v>
      </c>
      <c r="H914" s="71"/>
      <c r="I914" s="44" t="s">
        <v>15</v>
      </c>
      <c r="J914" s="44"/>
      <c r="K914" t="s">
        <v>19</v>
      </c>
    </row>
    <row r="915" spans="1:12" s="52" customFormat="1" ht="48" customHeight="1" x14ac:dyDescent="0.3">
      <c r="B915" s="36" t="s">
        <v>87</v>
      </c>
      <c r="C915" s="54" t="s">
        <v>17</v>
      </c>
      <c r="D915" s="38"/>
      <c r="E915" s="39" t="s">
        <v>13</v>
      </c>
      <c r="F915" s="40" t="s">
        <v>14</v>
      </c>
      <c r="G915" s="41" t="s">
        <v>88</v>
      </c>
      <c r="H915" s="44" t="s">
        <v>89</v>
      </c>
      <c r="I915" s="44" t="s">
        <v>15</v>
      </c>
      <c r="J915" s="44"/>
      <c r="K915" t="s">
        <v>19</v>
      </c>
    </row>
    <row r="916" spans="1:12" s="52" customFormat="1" ht="48" customHeight="1" x14ac:dyDescent="0.3">
      <c r="A916"/>
      <c r="B916" s="36" t="s">
        <v>30</v>
      </c>
      <c r="C916" s="37" t="s">
        <v>17</v>
      </c>
      <c r="D916" s="38"/>
      <c r="E916" s="39" t="s">
        <v>13</v>
      </c>
      <c r="F916" s="40" t="s">
        <v>14</v>
      </c>
      <c r="G916" s="41" t="s">
        <v>31</v>
      </c>
      <c r="H916" s="44"/>
      <c r="I916" s="44" t="s">
        <v>15</v>
      </c>
      <c r="J916" s="44"/>
      <c r="K916" t="s">
        <v>19</v>
      </c>
      <c r="L916"/>
    </row>
    <row r="917" spans="1:12" s="52" customFormat="1" ht="48" customHeight="1" x14ac:dyDescent="0.3">
      <c r="B917" s="36" t="s">
        <v>77</v>
      </c>
      <c r="C917" s="54" t="s">
        <v>17</v>
      </c>
      <c r="D917" s="38"/>
      <c r="E917" s="39" t="s">
        <v>13</v>
      </c>
      <c r="F917" s="40" t="s">
        <v>14</v>
      </c>
      <c r="G917" s="41" t="s">
        <v>78</v>
      </c>
      <c r="H917" s="71"/>
      <c r="I917" s="44" t="s">
        <v>15</v>
      </c>
      <c r="J917" s="44"/>
      <c r="K917" t="s">
        <v>19</v>
      </c>
    </row>
    <row r="918" spans="1:12" s="52" customFormat="1" ht="48" customHeight="1" x14ac:dyDescent="0.3">
      <c r="A918"/>
      <c r="B918" s="36" t="s">
        <v>24</v>
      </c>
      <c r="C918" s="101" t="s">
        <v>17</v>
      </c>
      <c r="D918" s="38"/>
      <c r="E918" s="39" t="s">
        <v>13</v>
      </c>
      <c r="F918" s="40" t="s">
        <v>14</v>
      </c>
      <c r="G918" s="41" t="s">
        <v>25</v>
      </c>
      <c r="H918" s="44"/>
      <c r="I918" s="44" t="s">
        <v>15</v>
      </c>
      <c r="J918" s="44"/>
      <c r="K918" t="s">
        <v>19</v>
      </c>
      <c r="L918"/>
    </row>
    <row r="919" spans="1:12" s="52" customFormat="1" ht="48" customHeight="1" x14ac:dyDescent="0.3">
      <c r="A919"/>
      <c r="B919" s="88" t="s">
        <v>1708</v>
      </c>
      <c r="C919" s="92" t="s">
        <v>17</v>
      </c>
      <c r="D919" s="89"/>
      <c r="E919" s="39" t="str">
        <f>E$908</f>
        <v>SVT + Physique-Chimie ou SVT + Maths</v>
      </c>
      <c r="F919" s="40" t="str">
        <f>F$908</f>
        <v>Maths compl. (option Tle) si Maths non conservée</v>
      </c>
      <c r="G919" s="41" t="s">
        <v>1709</v>
      </c>
      <c r="H919" s="44" t="s">
        <v>1710</v>
      </c>
      <c r="I919" s="44" t="str">
        <f>I$908</f>
        <v>SVT+PC | SVT+Maths</v>
      </c>
      <c r="J919" s="44"/>
      <c r="K919" t="s">
        <v>19</v>
      </c>
      <c r="L919"/>
    </row>
    <row r="920" spans="1:12" s="52" customFormat="1" ht="48" customHeight="1" x14ac:dyDescent="0.3"/>
    <row r="921" spans="1:12" s="52" customFormat="1" ht="48" customHeight="1" thickBot="1" x14ac:dyDescent="0.35">
      <c r="A921"/>
      <c r="B921" s="33" t="s">
        <v>1363</v>
      </c>
      <c r="C921" s="32"/>
      <c r="D921" s="32"/>
      <c r="E921" s="34" t="s">
        <v>13</v>
      </c>
      <c r="F921" s="35" t="s">
        <v>14</v>
      </c>
      <c r="G921" s="32"/>
      <c r="H921" s="43" t="s">
        <v>1364</v>
      </c>
      <c r="I921" s="43" t="s">
        <v>15</v>
      </c>
      <c r="J921" s="43"/>
      <c r="K921"/>
      <c r="L921"/>
    </row>
    <row r="922" spans="1:12" s="52" customFormat="1" ht="48" customHeight="1" x14ac:dyDescent="0.3">
      <c r="A922"/>
      <c r="B922" s="36" t="s">
        <v>26</v>
      </c>
      <c r="C922" s="37" t="s">
        <v>17</v>
      </c>
      <c r="D922" s="38"/>
      <c r="E922" s="39" t="s">
        <v>13</v>
      </c>
      <c r="F922" s="40" t="s">
        <v>14</v>
      </c>
      <c r="G922" s="41" t="s">
        <v>27</v>
      </c>
      <c r="H922" s="44"/>
      <c r="I922" s="44" t="s">
        <v>15</v>
      </c>
      <c r="J922" s="44"/>
      <c r="K922" s="87" t="s">
        <v>19</v>
      </c>
      <c r="L922" s="87"/>
    </row>
    <row r="923" spans="1:12" s="52" customFormat="1" ht="48" customHeight="1" x14ac:dyDescent="0.3">
      <c r="A923"/>
      <c r="B923" s="36" t="s">
        <v>28</v>
      </c>
      <c r="C923" s="37" t="s">
        <v>17</v>
      </c>
      <c r="D923" s="38"/>
      <c r="E923" s="39" t="s">
        <v>13</v>
      </c>
      <c r="F923" s="40" t="s">
        <v>14</v>
      </c>
      <c r="G923" s="41" t="s">
        <v>29</v>
      </c>
      <c r="H923" s="44"/>
      <c r="I923" s="44" t="s">
        <v>15</v>
      </c>
      <c r="J923" s="44"/>
      <c r="K923" t="s">
        <v>19</v>
      </c>
      <c r="L923"/>
    </row>
    <row r="924" spans="1:12" s="52" customFormat="1" ht="48" customHeight="1" x14ac:dyDescent="0.3">
      <c r="A924"/>
      <c r="B924" s="36" t="s">
        <v>32</v>
      </c>
      <c r="C924" s="37" t="s">
        <v>17</v>
      </c>
      <c r="D924" s="38"/>
      <c r="E924" s="39" t="s">
        <v>13</v>
      </c>
      <c r="F924" s="40" t="s">
        <v>14</v>
      </c>
      <c r="G924" s="41" t="s">
        <v>33</v>
      </c>
      <c r="H924" s="44"/>
      <c r="I924" s="44" t="s">
        <v>15</v>
      </c>
      <c r="J924" s="44"/>
      <c r="K924" t="s">
        <v>19</v>
      </c>
      <c r="L924"/>
    </row>
    <row r="925" spans="1:12" s="52" customFormat="1" ht="48" customHeight="1" x14ac:dyDescent="0.3">
      <c r="B925" s="36" t="s">
        <v>81</v>
      </c>
      <c r="C925" s="54" t="s">
        <v>17</v>
      </c>
      <c r="D925" s="38"/>
      <c r="E925" s="39" t="s">
        <v>13</v>
      </c>
      <c r="F925" s="40" t="s">
        <v>14</v>
      </c>
      <c r="G925" s="41" t="s">
        <v>82</v>
      </c>
      <c r="H925" s="44" t="s">
        <v>83</v>
      </c>
      <c r="I925" s="44" t="s">
        <v>15</v>
      </c>
      <c r="J925" s="44"/>
      <c r="K925" t="s">
        <v>19</v>
      </c>
    </row>
    <row r="926" spans="1:12" s="52" customFormat="1" ht="48" customHeight="1" x14ac:dyDescent="0.3">
      <c r="A926"/>
      <c r="B926" s="36" t="s">
        <v>34</v>
      </c>
      <c r="C926" s="37" t="s">
        <v>17</v>
      </c>
      <c r="D926" s="38"/>
      <c r="E926" s="39" t="s">
        <v>13</v>
      </c>
      <c r="F926" s="40" t="s">
        <v>14</v>
      </c>
      <c r="G926" s="41" t="s">
        <v>35</v>
      </c>
      <c r="H926" s="44"/>
      <c r="I926" s="44" t="s">
        <v>15</v>
      </c>
      <c r="J926" s="44"/>
      <c r="K926" t="s">
        <v>19</v>
      </c>
      <c r="L926"/>
    </row>
    <row r="927" spans="1:12" s="52" customFormat="1" ht="48" customHeight="1" x14ac:dyDescent="0.3">
      <c r="B927" s="36" t="s">
        <v>84</v>
      </c>
      <c r="C927" s="54" t="s">
        <v>17</v>
      </c>
      <c r="D927" s="38"/>
      <c r="E927" s="39" t="s">
        <v>13</v>
      </c>
      <c r="F927" s="40" t="s">
        <v>14</v>
      </c>
      <c r="G927" s="41" t="s">
        <v>85</v>
      </c>
      <c r="H927" s="44" t="s">
        <v>86</v>
      </c>
      <c r="I927" s="44" t="s">
        <v>15</v>
      </c>
      <c r="J927" s="44"/>
      <c r="K927" t="s">
        <v>19</v>
      </c>
    </row>
    <row r="928" spans="1:12" s="52" customFormat="1" ht="48" customHeight="1" x14ac:dyDescent="0.3">
      <c r="B928" s="36" t="s">
        <v>92</v>
      </c>
      <c r="C928" s="54" t="s">
        <v>17</v>
      </c>
      <c r="D928" s="38"/>
      <c r="E928" s="39" t="s">
        <v>13</v>
      </c>
      <c r="F928" s="40" t="s">
        <v>14</v>
      </c>
      <c r="G928" s="41" t="s">
        <v>93</v>
      </c>
      <c r="H928" s="44"/>
      <c r="I928" s="44" t="s">
        <v>15</v>
      </c>
      <c r="J928" s="44"/>
      <c r="K928" t="s">
        <v>19</v>
      </c>
    </row>
    <row r="929" spans="2:2" ht="22.05" customHeight="1" x14ac:dyDescent="0.3"/>
    <row r="930" spans="2:2" ht="6" customHeight="1" x14ac:dyDescent="0.3"/>
    <row r="931" spans="2:2" ht="48" customHeight="1" x14ac:dyDescent="0.3">
      <c r="B931" s="121" t="s">
        <v>1186</v>
      </c>
    </row>
    <row r="932" spans="2:2" ht="22.05" customHeight="1" x14ac:dyDescent="0.3"/>
    <row r="933" spans="2:2" ht="22.05" customHeight="1" x14ac:dyDescent="0.3"/>
    <row r="934" spans="2:2" ht="22.05" customHeight="1" x14ac:dyDescent="0.3"/>
    <row r="935" spans="2:2" ht="22.05" customHeight="1" x14ac:dyDescent="0.3"/>
    <row r="936" spans="2:2" ht="22.05" customHeight="1" x14ac:dyDescent="0.3"/>
    <row r="937" spans="2:2" ht="6" customHeight="1" x14ac:dyDescent="0.3"/>
    <row r="938" spans="2:2" ht="48" customHeight="1" x14ac:dyDescent="0.3"/>
    <row r="939" spans="2:2" ht="22.05" customHeight="1" x14ac:dyDescent="0.3"/>
    <row r="940" spans="2:2" ht="22.05" customHeight="1" x14ac:dyDescent="0.3"/>
    <row r="941" spans="2:2" ht="22.05" customHeight="1" x14ac:dyDescent="0.3"/>
    <row r="942" spans="2:2" ht="22.05" customHeight="1" x14ac:dyDescent="0.3"/>
    <row r="943" spans="2:2" ht="22.05" customHeight="1" x14ac:dyDescent="0.3"/>
    <row r="944" spans="2:2" ht="6" customHeight="1" x14ac:dyDescent="0.3"/>
    <row r="945" ht="48" customHeight="1" x14ac:dyDescent="0.3"/>
    <row r="946" ht="6" customHeight="1" x14ac:dyDescent="0.3"/>
    <row r="947" ht="48" customHeight="1" x14ac:dyDescent="0.3"/>
    <row r="948" ht="22.05" customHeight="1" x14ac:dyDescent="0.3"/>
    <row r="949" ht="22.05" customHeight="1" x14ac:dyDescent="0.3"/>
    <row r="950" ht="22.05" customHeight="1" x14ac:dyDescent="0.3"/>
    <row r="951" ht="22.05" customHeight="1" x14ac:dyDescent="0.3"/>
    <row r="952" ht="22.05" customHeight="1" x14ac:dyDescent="0.3"/>
    <row r="953" ht="6" customHeight="1" x14ac:dyDescent="0.3"/>
    <row r="954" ht="48" customHeight="1" x14ac:dyDescent="0.3"/>
    <row r="955" ht="22.05" customHeight="1" x14ac:dyDescent="0.3"/>
    <row r="956" ht="22.05" customHeight="1" x14ac:dyDescent="0.3"/>
    <row r="957" ht="22.05" customHeight="1" x14ac:dyDescent="0.3"/>
    <row r="958" ht="22.05" customHeight="1" x14ac:dyDescent="0.3"/>
    <row r="959" ht="22.05" customHeight="1" x14ac:dyDescent="0.3"/>
    <row r="960" ht="6" customHeight="1" x14ac:dyDescent="0.3"/>
    <row r="961" ht="48" customHeight="1" x14ac:dyDescent="0.3"/>
    <row r="962" ht="22.05" customHeight="1" x14ac:dyDescent="0.3"/>
    <row r="963" ht="22.05" customHeight="1" x14ac:dyDescent="0.3"/>
    <row r="964" ht="22.05" customHeight="1" x14ac:dyDescent="0.3"/>
    <row r="965" ht="22.05" customHeight="1" x14ac:dyDescent="0.3"/>
    <row r="966" ht="22.05" customHeight="1" x14ac:dyDescent="0.3"/>
    <row r="967" ht="6" customHeight="1" x14ac:dyDescent="0.3"/>
    <row r="968" ht="48" customHeight="1" x14ac:dyDescent="0.3"/>
    <row r="969" ht="22.05" customHeight="1" x14ac:dyDescent="0.3"/>
    <row r="970" ht="22.05" customHeight="1" x14ac:dyDescent="0.3"/>
    <row r="971" ht="22.05" customHeight="1" x14ac:dyDescent="0.3"/>
    <row r="972" ht="22.05" customHeight="1" x14ac:dyDescent="0.3"/>
    <row r="973" ht="22.05" customHeight="1" x14ac:dyDescent="0.3"/>
    <row r="974" ht="6" customHeight="1" x14ac:dyDescent="0.3"/>
    <row r="975" ht="48" customHeight="1" x14ac:dyDescent="0.3"/>
    <row r="976" ht="22.05" customHeight="1" x14ac:dyDescent="0.3"/>
    <row r="977" ht="22.05" customHeight="1" x14ac:dyDescent="0.3"/>
    <row r="978" ht="22.05" customHeight="1" x14ac:dyDescent="0.3"/>
    <row r="979" ht="22.05" customHeight="1" x14ac:dyDescent="0.3"/>
    <row r="980" ht="22.05" customHeight="1" x14ac:dyDescent="0.3"/>
    <row r="981" ht="18" customHeight="1" x14ac:dyDescent="0.3"/>
    <row r="982" ht="30"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row r="1001" ht="18" customHeight="1" x14ac:dyDescent="0.3"/>
    <row r="1002" ht="18" customHeight="1" x14ac:dyDescent="0.3"/>
    <row r="1003" ht="18" customHeight="1" x14ac:dyDescent="0.3"/>
    <row r="1004" ht="18" customHeight="1" x14ac:dyDescent="0.3"/>
    <row r="1005" ht="18" customHeight="1" x14ac:dyDescent="0.3"/>
    <row r="1006" ht="18" customHeight="1" x14ac:dyDescent="0.3"/>
    <row r="1007" ht="18" customHeight="1" x14ac:dyDescent="0.3"/>
    <row r="1008" ht="18" customHeight="1" x14ac:dyDescent="0.3"/>
    <row r="1009" ht="18" customHeight="1" x14ac:dyDescent="0.3"/>
    <row r="1010" ht="18" customHeight="1" x14ac:dyDescent="0.3"/>
    <row r="1011" ht="18" customHeight="1" x14ac:dyDescent="0.3"/>
    <row r="1012" ht="18" customHeight="1" x14ac:dyDescent="0.3"/>
    <row r="1013" ht="18" customHeight="1" x14ac:dyDescent="0.3"/>
    <row r="1014" ht="18" customHeight="1" x14ac:dyDescent="0.3"/>
    <row r="1015" ht="18" customHeight="1" x14ac:dyDescent="0.3"/>
    <row r="1016" ht="18" customHeight="1" x14ac:dyDescent="0.3"/>
    <row r="1017" ht="18" customHeight="1" x14ac:dyDescent="0.3"/>
    <row r="1018" ht="18" customHeight="1" x14ac:dyDescent="0.3"/>
    <row r="1019" ht="18" customHeight="1" x14ac:dyDescent="0.3"/>
    <row r="1020" ht="18" customHeight="1" x14ac:dyDescent="0.3"/>
    <row r="1021" ht="18" customHeight="1" x14ac:dyDescent="0.3"/>
    <row r="1022" ht="18" customHeight="1" x14ac:dyDescent="0.3"/>
    <row r="1023" ht="18" customHeight="1" x14ac:dyDescent="0.3"/>
    <row r="1024" ht="18" customHeight="1" x14ac:dyDescent="0.3"/>
    <row r="1025" ht="18" customHeight="1" x14ac:dyDescent="0.3"/>
    <row r="1026" ht="18" customHeight="1" x14ac:dyDescent="0.3"/>
    <row r="1027" ht="18" customHeight="1" x14ac:dyDescent="0.3"/>
    <row r="1028" ht="18" customHeight="1" x14ac:dyDescent="0.3"/>
    <row r="1029" ht="18" customHeight="1" x14ac:dyDescent="0.3"/>
    <row r="1030" ht="18" customHeight="1" x14ac:dyDescent="0.3"/>
    <row r="1031" ht="18" customHeight="1" x14ac:dyDescent="0.3"/>
    <row r="1032" ht="18" customHeight="1" x14ac:dyDescent="0.3"/>
    <row r="1033" ht="18" customHeight="1" x14ac:dyDescent="0.3"/>
    <row r="1034" ht="18" customHeight="1" x14ac:dyDescent="0.3"/>
    <row r="1035" ht="18" customHeight="1" x14ac:dyDescent="0.3"/>
    <row r="1036" ht="18" customHeight="1" x14ac:dyDescent="0.3"/>
    <row r="1037" ht="18" customHeight="1" x14ac:dyDescent="0.3"/>
    <row r="1038" ht="18" customHeight="1" x14ac:dyDescent="0.3"/>
    <row r="1039" ht="18" customHeight="1" x14ac:dyDescent="0.3"/>
    <row r="1040" ht="18" customHeight="1" x14ac:dyDescent="0.3"/>
    <row r="1041" ht="18" customHeight="1" x14ac:dyDescent="0.3"/>
    <row r="1042" ht="18" customHeight="1" x14ac:dyDescent="0.3"/>
    <row r="1043" ht="18" customHeight="1" x14ac:dyDescent="0.3"/>
    <row r="1044" ht="18" customHeight="1" x14ac:dyDescent="0.3"/>
    <row r="1045" ht="18" customHeight="1" x14ac:dyDescent="0.3"/>
    <row r="1046" ht="18" customHeight="1" x14ac:dyDescent="0.3"/>
    <row r="1047" ht="18" customHeight="1" x14ac:dyDescent="0.3"/>
    <row r="1048" ht="18" customHeight="1" x14ac:dyDescent="0.3"/>
    <row r="1049" ht="18" customHeight="1" x14ac:dyDescent="0.3"/>
    <row r="1050" ht="18" customHeight="1" x14ac:dyDescent="0.3"/>
    <row r="1051" ht="18" customHeight="1" x14ac:dyDescent="0.3"/>
    <row r="1052" ht="18" customHeight="1" x14ac:dyDescent="0.3"/>
    <row r="1053" ht="18" customHeight="1" x14ac:dyDescent="0.3"/>
    <row r="1054" ht="18" customHeight="1" x14ac:dyDescent="0.3"/>
    <row r="1055" ht="18" customHeight="1" x14ac:dyDescent="0.3"/>
    <row r="1056" ht="18" customHeight="1" x14ac:dyDescent="0.3"/>
    <row r="1057" ht="18" customHeight="1" x14ac:dyDescent="0.3"/>
    <row r="1058" ht="18" customHeight="1" x14ac:dyDescent="0.3"/>
    <row r="1059" ht="18" customHeight="1" x14ac:dyDescent="0.3"/>
    <row r="1060" ht="18" customHeight="1" x14ac:dyDescent="0.3"/>
    <row r="1061" ht="18" customHeight="1" x14ac:dyDescent="0.3"/>
    <row r="1062" ht="18" customHeight="1" x14ac:dyDescent="0.3"/>
    <row r="1063" ht="18" customHeight="1" x14ac:dyDescent="0.3"/>
    <row r="1064" ht="18" customHeight="1" x14ac:dyDescent="0.3"/>
    <row r="1065" ht="18" customHeight="1" x14ac:dyDescent="0.3"/>
    <row r="1066" ht="18" customHeight="1" x14ac:dyDescent="0.3"/>
    <row r="1067" ht="18" customHeight="1" x14ac:dyDescent="0.3"/>
    <row r="1068" ht="18" customHeight="1" x14ac:dyDescent="0.3"/>
    <row r="1069" ht="18" customHeight="1" x14ac:dyDescent="0.3"/>
    <row r="1070" ht="18" customHeight="1" x14ac:dyDescent="0.3"/>
    <row r="1071" ht="18" customHeight="1" x14ac:dyDescent="0.3"/>
    <row r="1072" ht="18" customHeight="1" x14ac:dyDescent="0.3"/>
    <row r="1073" ht="18" customHeight="1" x14ac:dyDescent="0.3"/>
    <row r="1074" ht="18" customHeight="1" x14ac:dyDescent="0.3"/>
    <row r="1075" ht="18" customHeight="1" x14ac:dyDescent="0.3"/>
    <row r="1076" ht="18" customHeight="1" x14ac:dyDescent="0.3"/>
    <row r="1077" ht="18" customHeight="1" x14ac:dyDescent="0.3"/>
    <row r="1078" ht="18" customHeight="1" x14ac:dyDescent="0.3"/>
    <row r="1079" ht="18" customHeight="1" x14ac:dyDescent="0.3"/>
    <row r="1080" ht="18" customHeight="1" x14ac:dyDescent="0.3"/>
    <row r="1081" ht="18" customHeight="1" x14ac:dyDescent="0.3"/>
    <row r="1082" ht="18" customHeight="1" x14ac:dyDescent="0.3"/>
    <row r="1083" ht="18" customHeight="1" x14ac:dyDescent="0.3"/>
    <row r="1084" ht="18" customHeight="1" x14ac:dyDescent="0.3"/>
    <row r="1085" ht="18" customHeight="1" x14ac:dyDescent="0.3"/>
    <row r="1086" ht="18" customHeight="1" x14ac:dyDescent="0.3"/>
    <row r="1087" ht="18" customHeight="1" x14ac:dyDescent="0.3"/>
    <row r="1088" ht="18" customHeight="1" x14ac:dyDescent="0.3"/>
    <row r="1089" ht="18" customHeight="1" x14ac:dyDescent="0.3"/>
    <row r="1090" ht="18" customHeight="1" x14ac:dyDescent="0.3"/>
    <row r="1091" ht="18" customHeight="1" x14ac:dyDescent="0.3"/>
    <row r="1092" ht="18" customHeight="1" x14ac:dyDescent="0.3"/>
    <row r="1093" ht="18" customHeight="1" x14ac:dyDescent="0.3"/>
    <row r="1094" ht="18" customHeight="1" x14ac:dyDescent="0.3"/>
    <row r="1095" ht="18" customHeight="1" x14ac:dyDescent="0.3"/>
    <row r="1096" ht="18" customHeight="1" x14ac:dyDescent="0.3"/>
    <row r="1097" ht="18" customHeight="1" x14ac:dyDescent="0.3"/>
    <row r="1098" ht="18" customHeight="1" x14ac:dyDescent="0.3"/>
    <row r="1099" ht="18" customHeight="1" x14ac:dyDescent="0.3"/>
    <row r="1100" ht="18" customHeight="1" x14ac:dyDescent="0.3"/>
    <row r="1101" ht="18" customHeight="1" x14ac:dyDescent="0.3"/>
    <row r="1102" ht="18" customHeight="1" x14ac:dyDescent="0.3"/>
    <row r="1103" ht="18" customHeight="1" x14ac:dyDescent="0.3"/>
    <row r="1104" ht="18" customHeight="1" x14ac:dyDescent="0.3"/>
    <row r="1105" ht="18" customHeight="1" x14ac:dyDescent="0.3"/>
    <row r="1106" ht="18" customHeight="1" x14ac:dyDescent="0.3"/>
    <row r="1107" ht="18" customHeight="1" x14ac:dyDescent="0.3"/>
    <row r="1108" ht="18" customHeight="1" x14ac:dyDescent="0.3"/>
    <row r="1109" ht="18" customHeight="1" x14ac:dyDescent="0.3"/>
    <row r="1110" ht="18" customHeight="1" x14ac:dyDescent="0.3"/>
    <row r="1111" ht="18" customHeight="1" x14ac:dyDescent="0.3"/>
    <row r="1112" ht="18" customHeight="1" x14ac:dyDescent="0.3"/>
    <row r="1113" ht="18" customHeight="1" x14ac:dyDescent="0.3"/>
    <row r="1114" ht="18" customHeight="1" x14ac:dyDescent="0.3"/>
    <row r="1115" ht="18" customHeight="1" x14ac:dyDescent="0.3"/>
    <row r="1116" ht="18" customHeight="1" x14ac:dyDescent="0.3"/>
    <row r="1117" ht="18" customHeight="1" x14ac:dyDescent="0.3"/>
    <row r="1118" ht="18" customHeight="1" x14ac:dyDescent="0.3"/>
    <row r="1119" ht="18" customHeight="1" x14ac:dyDescent="0.3"/>
    <row r="1120" ht="18" customHeight="1" x14ac:dyDescent="0.3"/>
    <row r="1121" ht="18" customHeight="1" x14ac:dyDescent="0.3"/>
    <row r="1122" ht="18" customHeight="1" x14ac:dyDescent="0.3"/>
    <row r="1123" ht="18" customHeight="1" x14ac:dyDescent="0.3"/>
    <row r="1124" ht="18" customHeight="1" x14ac:dyDescent="0.3"/>
    <row r="1125" ht="18" customHeight="1" x14ac:dyDescent="0.3"/>
    <row r="1126" ht="18" customHeight="1" x14ac:dyDescent="0.3"/>
    <row r="1127" ht="18" customHeight="1" x14ac:dyDescent="0.3"/>
    <row r="1128" ht="18" customHeight="1" x14ac:dyDescent="0.3"/>
    <row r="1129" ht="18" customHeight="1" x14ac:dyDescent="0.3"/>
    <row r="1130" ht="18" customHeight="1" x14ac:dyDescent="0.3"/>
    <row r="1131" ht="18" customHeight="1" x14ac:dyDescent="0.3"/>
    <row r="1132" ht="18" customHeight="1" x14ac:dyDescent="0.3"/>
    <row r="1133" ht="18" customHeight="1" x14ac:dyDescent="0.3"/>
    <row r="1134" ht="18" customHeight="1" x14ac:dyDescent="0.3"/>
    <row r="1135" ht="18" customHeight="1" x14ac:dyDescent="0.3"/>
    <row r="1136" ht="18" customHeight="1" x14ac:dyDescent="0.3"/>
    <row r="1137" ht="18" customHeight="1" x14ac:dyDescent="0.3"/>
    <row r="1138" ht="18" customHeight="1" x14ac:dyDescent="0.3"/>
    <row r="1139" ht="18" customHeight="1" x14ac:dyDescent="0.3"/>
    <row r="1140" ht="18" customHeight="1" x14ac:dyDescent="0.3"/>
    <row r="1141" ht="18" customHeight="1" x14ac:dyDescent="0.3"/>
    <row r="1142" ht="18" customHeight="1" x14ac:dyDescent="0.3"/>
    <row r="1143" ht="18" customHeight="1" x14ac:dyDescent="0.3"/>
    <row r="1144" ht="18" customHeight="1" x14ac:dyDescent="0.3"/>
    <row r="1145" ht="18" customHeight="1" x14ac:dyDescent="0.3"/>
    <row r="1146" ht="18" customHeight="1" x14ac:dyDescent="0.3"/>
    <row r="1147" ht="18" customHeight="1" x14ac:dyDescent="0.3"/>
    <row r="1148" ht="18" customHeight="1" x14ac:dyDescent="0.3"/>
    <row r="1149" ht="18" customHeight="1" x14ac:dyDescent="0.3"/>
    <row r="1150" ht="18" customHeight="1" x14ac:dyDescent="0.3"/>
    <row r="1151" ht="18" customHeight="1" x14ac:dyDescent="0.3"/>
    <row r="1152" ht="18" customHeight="1" x14ac:dyDescent="0.3"/>
    <row r="1153" ht="18" customHeight="1" x14ac:dyDescent="0.3"/>
    <row r="1154" ht="18" customHeight="1" x14ac:dyDescent="0.3"/>
    <row r="1155" ht="18" customHeight="1" x14ac:dyDescent="0.3"/>
    <row r="1156" ht="18" customHeight="1" x14ac:dyDescent="0.3"/>
    <row r="1157" ht="18" customHeight="1" x14ac:dyDescent="0.3"/>
    <row r="1158" ht="18" customHeight="1" x14ac:dyDescent="0.3"/>
    <row r="1159" ht="18" customHeight="1" x14ac:dyDescent="0.3"/>
    <row r="1160" ht="18" customHeight="1" x14ac:dyDescent="0.3"/>
    <row r="1161" ht="18" customHeight="1" x14ac:dyDescent="0.3"/>
    <row r="1162" ht="18" customHeight="1" x14ac:dyDescent="0.3"/>
    <row r="1163" ht="18" customHeight="1" x14ac:dyDescent="0.3"/>
    <row r="1164" ht="18" customHeight="1" x14ac:dyDescent="0.3"/>
    <row r="1165" ht="18" customHeight="1" x14ac:dyDescent="0.3"/>
    <row r="1166" ht="18" customHeight="1" x14ac:dyDescent="0.3"/>
    <row r="1167" ht="18" customHeight="1" x14ac:dyDescent="0.3"/>
    <row r="1168" ht="18" customHeight="1" x14ac:dyDescent="0.3"/>
    <row r="1169" ht="18" customHeight="1" x14ac:dyDescent="0.3"/>
    <row r="1170" ht="18" customHeight="1" x14ac:dyDescent="0.3"/>
    <row r="1171" ht="18" customHeight="1" x14ac:dyDescent="0.3"/>
    <row r="1172" ht="18" customHeight="1" x14ac:dyDescent="0.3"/>
    <row r="1173" ht="18" customHeight="1" x14ac:dyDescent="0.3"/>
    <row r="1174" ht="18" customHeight="1" x14ac:dyDescent="0.3"/>
    <row r="1175" ht="18" customHeight="1" x14ac:dyDescent="0.3"/>
    <row r="1176" ht="18" customHeight="1" x14ac:dyDescent="0.3"/>
    <row r="1177" ht="18" customHeight="1" x14ac:dyDescent="0.3"/>
    <row r="1178" ht="18" customHeight="1" x14ac:dyDescent="0.3"/>
    <row r="1179" ht="18" customHeight="1" x14ac:dyDescent="0.3"/>
    <row r="1180" ht="18" customHeight="1" x14ac:dyDescent="0.3"/>
    <row r="1181" ht="18" customHeight="1" x14ac:dyDescent="0.3"/>
    <row r="1182" ht="18" customHeight="1" x14ac:dyDescent="0.3"/>
    <row r="1183" ht="18" customHeight="1" x14ac:dyDescent="0.3"/>
    <row r="1184" ht="18" customHeight="1" x14ac:dyDescent="0.3"/>
    <row r="1185" ht="18" customHeight="1" x14ac:dyDescent="0.3"/>
    <row r="1186" ht="18" customHeight="1" x14ac:dyDescent="0.3"/>
    <row r="1187" ht="18" customHeight="1" x14ac:dyDescent="0.3"/>
    <row r="1188" ht="18" customHeight="1" x14ac:dyDescent="0.3"/>
    <row r="1189" ht="18" customHeight="1" x14ac:dyDescent="0.3"/>
    <row r="1190" ht="18" customHeight="1" x14ac:dyDescent="0.3"/>
    <row r="1191" ht="18" customHeight="1" x14ac:dyDescent="0.3"/>
    <row r="1192" ht="18" customHeight="1" x14ac:dyDescent="0.3"/>
    <row r="1193" ht="18" customHeight="1" x14ac:dyDescent="0.3"/>
    <row r="1194" ht="18" customHeight="1" x14ac:dyDescent="0.3"/>
    <row r="1195" ht="18" customHeight="1" x14ac:dyDescent="0.3"/>
    <row r="1196" ht="18" customHeight="1" x14ac:dyDescent="0.3"/>
    <row r="1197" ht="18" customHeight="1" x14ac:dyDescent="0.3"/>
    <row r="1198" ht="18" customHeight="1" x14ac:dyDescent="0.3"/>
    <row r="1199" ht="18" customHeight="1" x14ac:dyDescent="0.3"/>
    <row r="1200" ht="18" customHeight="1" x14ac:dyDescent="0.3"/>
    <row r="1201" ht="18" customHeight="1" x14ac:dyDescent="0.3"/>
    <row r="1202" ht="18" customHeight="1" x14ac:dyDescent="0.3"/>
    <row r="1203" ht="18" customHeight="1" x14ac:dyDescent="0.3"/>
    <row r="1204" ht="18" customHeight="1" x14ac:dyDescent="0.3"/>
    <row r="1205" ht="18" customHeight="1" x14ac:dyDescent="0.3"/>
    <row r="1206" ht="18" customHeight="1" x14ac:dyDescent="0.3"/>
    <row r="1207" ht="18" customHeight="1" x14ac:dyDescent="0.3"/>
    <row r="1208" ht="18" customHeight="1" x14ac:dyDescent="0.3"/>
    <row r="1209" ht="18" customHeight="1" x14ac:dyDescent="0.3"/>
    <row r="1210" ht="18" customHeight="1" x14ac:dyDescent="0.3"/>
    <row r="1211" ht="18" customHeight="1" x14ac:dyDescent="0.3"/>
    <row r="1212" ht="18" customHeight="1" x14ac:dyDescent="0.3"/>
    <row r="1213" ht="18" customHeight="1" x14ac:dyDescent="0.3"/>
    <row r="1214" ht="18" customHeight="1" x14ac:dyDescent="0.3"/>
    <row r="1215" ht="18" customHeight="1" x14ac:dyDescent="0.3"/>
    <row r="1216" ht="18" customHeight="1" x14ac:dyDescent="0.3"/>
    <row r="1217" ht="18" customHeight="1" x14ac:dyDescent="0.3"/>
    <row r="1218" ht="18" customHeight="1" x14ac:dyDescent="0.3"/>
    <row r="1219" ht="18" customHeight="1" x14ac:dyDescent="0.3"/>
    <row r="1220" ht="18" customHeight="1" x14ac:dyDescent="0.3"/>
    <row r="1221" ht="18" customHeight="1" x14ac:dyDescent="0.3"/>
    <row r="1222" ht="18" customHeight="1" x14ac:dyDescent="0.3"/>
    <row r="1223" ht="18" customHeight="1" x14ac:dyDescent="0.3"/>
    <row r="1224" ht="18" customHeight="1" x14ac:dyDescent="0.3"/>
    <row r="1225" ht="18" customHeight="1" x14ac:dyDescent="0.3"/>
    <row r="1226" ht="18" customHeight="1" x14ac:dyDescent="0.3"/>
    <row r="1227" ht="18" customHeight="1" x14ac:dyDescent="0.3"/>
    <row r="1228" ht="18" customHeight="1" x14ac:dyDescent="0.3"/>
    <row r="1229" ht="18" customHeight="1" x14ac:dyDescent="0.3"/>
    <row r="1230" ht="18" customHeight="1" x14ac:dyDescent="0.3"/>
    <row r="1231" ht="18" customHeight="1" x14ac:dyDescent="0.3"/>
    <row r="1232" ht="18" customHeight="1" x14ac:dyDescent="0.3"/>
    <row r="1233" ht="18" customHeight="1" x14ac:dyDescent="0.3"/>
    <row r="1234" ht="18" customHeight="1" x14ac:dyDescent="0.3"/>
    <row r="1235" ht="18" customHeight="1" x14ac:dyDescent="0.3"/>
    <row r="1236" ht="18" customHeight="1" x14ac:dyDescent="0.3"/>
    <row r="1237" ht="18" customHeight="1" x14ac:dyDescent="0.3"/>
    <row r="1238" ht="18" customHeight="1" x14ac:dyDescent="0.3"/>
    <row r="1239" ht="18" customHeight="1" x14ac:dyDescent="0.3"/>
    <row r="1240" ht="18" customHeight="1" x14ac:dyDescent="0.3"/>
    <row r="1241" ht="18" customHeight="1" x14ac:dyDescent="0.3"/>
    <row r="1242" ht="18" customHeight="1" x14ac:dyDescent="0.3"/>
    <row r="1243" ht="18" customHeight="1" x14ac:dyDescent="0.3"/>
    <row r="1244" ht="18" customHeight="1" x14ac:dyDescent="0.3"/>
    <row r="1245" ht="18" customHeight="1" x14ac:dyDescent="0.3"/>
    <row r="1246" ht="18" customHeight="1" x14ac:dyDescent="0.3"/>
    <row r="1247" ht="18" customHeight="1" x14ac:dyDescent="0.3"/>
    <row r="1248" ht="18" customHeight="1" x14ac:dyDescent="0.3"/>
    <row r="1249" ht="18" customHeight="1" x14ac:dyDescent="0.3"/>
    <row r="1250" ht="18" customHeight="1" x14ac:dyDescent="0.3"/>
    <row r="1251" ht="18" customHeight="1" x14ac:dyDescent="0.3"/>
    <row r="1252" ht="18" customHeight="1" x14ac:dyDescent="0.3"/>
    <row r="1253" ht="18" customHeight="1" x14ac:dyDescent="0.3"/>
    <row r="1254" ht="18" customHeight="1" x14ac:dyDescent="0.3"/>
    <row r="1255" ht="18" customHeight="1" x14ac:dyDescent="0.3"/>
    <row r="1256" ht="18" customHeight="1" x14ac:dyDescent="0.3"/>
    <row r="1257" ht="18" customHeight="1" x14ac:dyDescent="0.3"/>
    <row r="1258" ht="18" customHeight="1" x14ac:dyDescent="0.3"/>
    <row r="1259" ht="18" customHeight="1" x14ac:dyDescent="0.3"/>
    <row r="1260" ht="18" customHeight="1" x14ac:dyDescent="0.3"/>
    <row r="1261" ht="18" customHeight="1" x14ac:dyDescent="0.3"/>
    <row r="1262" ht="18" customHeight="1" x14ac:dyDescent="0.3"/>
    <row r="1263" ht="18" customHeight="1" x14ac:dyDescent="0.3"/>
    <row r="1264" ht="18" customHeight="1" x14ac:dyDescent="0.3"/>
    <row r="1265" ht="18" customHeight="1" x14ac:dyDescent="0.3"/>
    <row r="1266" ht="18" customHeight="1" x14ac:dyDescent="0.3"/>
    <row r="1267" ht="18" customHeight="1" x14ac:dyDescent="0.3"/>
    <row r="1268" ht="18" customHeight="1" x14ac:dyDescent="0.3"/>
    <row r="1269" ht="18" customHeight="1" x14ac:dyDescent="0.3"/>
    <row r="1270" ht="18" customHeight="1" x14ac:dyDescent="0.3"/>
    <row r="1271" ht="18" customHeight="1" x14ac:dyDescent="0.3"/>
    <row r="1272" ht="18" customHeight="1" x14ac:dyDescent="0.3"/>
    <row r="1273" ht="18" customHeight="1" x14ac:dyDescent="0.3"/>
    <row r="1274" ht="18" customHeight="1" x14ac:dyDescent="0.3"/>
    <row r="1275" ht="18" customHeight="1" x14ac:dyDescent="0.3"/>
    <row r="1276" ht="18" customHeight="1" x14ac:dyDescent="0.3"/>
    <row r="1277" ht="18" customHeight="1" x14ac:dyDescent="0.3"/>
    <row r="1278" ht="18" customHeight="1" x14ac:dyDescent="0.3"/>
    <row r="1279" ht="18" customHeight="1" x14ac:dyDescent="0.3"/>
    <row r="1280" ht="18" customHeight="1" x14ac:dyDescent="0.3"/>
    <row r="1281" ht="18" customHeight="1" x14ac:dyDescent="0.3"/>
    <row r="1282" ht="18" customHeight="1" x14ac:dyDescent="0.3"/>
    <row r="1283" ht="18" customHeight="1" x14ac:dyDescent="0.3"/>
    <row r="1284" ht="18" customHeight="1" x14ac:dyDescent="0.3"/>
    <row r="1285" ht="18" customHeight="1" x14ac:dyDescent="0.3"/>
    <row r="1286" ht="18" customHeight="1" x14ac:dyDescent="0.3"/>
    <row r="1287" ht="18" customHeight="1" x14ac:dyDescent="0.3"/>
    <row r="1288" ht="18" customHeight="1" x14ac:dyDescent="0.3"/>
    <row r="1289" ht="18" customHeight="1" x14ac:dyDescent="0.3"/>
    <row r="1290" ht="18" customHeight="1" x14ac:dyDescent="0.3"/>
    <row r="1291" ht="18" customHeight="1" x14ac:dyDescent="0.3"/>
    <row r="1292" ht="18" customHeight="1" x14ac:dyDescent="0.3"/>
    <row r="1293" ht="18" customHeight="1" x14ac:dyDescent="0.3"/>
    <row r="1294" ht="18" customHeight="1" x14ac:dyDescent="0.3"/>
    <row r="1295" ht="18" customHeight="1" x14ac:dyDescent="0.3"/>
    <row r="1296" ht="18" customHeight="1" x14ac:dyDescent="0.3"/>
    <row r="1297" ht="18" customHeight="1" x14ac:dyDescent="0.3"/>
    <row r="1298" ht="18" customHeight="1" x14ac:dyDescent="0.3"/>
    <row r="1299" ht="18" customHeight="1" x14ac:dyDescent="0.3"/>
    <row r="1300" ht="18" customHeight="1" x14ac:dyDescent="0.3"/>
    <row r="1301" ht="18" customHeight="1" x14ac:dyDescent="0.3"/>
    <row r="1302" ht="18" customHeight="1" x14ac:dyDescent="0.3"/>
    <row r="1303" ht="18" customHeight="1" x14ac:dyDescent="0.3"/>
    <row r="1304" ht="18" customHeight="1" x14ac:dyDescent="0.3"/>
    <row r="1305" ht="18" customHeight="1" x14ac:dyDescent="0.3"/>
    <row r="1306" ht="18" customHeight="1" x14ac:dyDescent="0.3"/>
    <row r="1307" ht="18" customHeight="1" x14ac:dyDescent="0.3"/>
    <row r="1308" ht="18" customHeight="1" x14ac:dyDescent="0.3"/>
    <row r="1309" ht="18" customHeight="1" x14ac:dyDescent="0.3"/>
    <row r="1310" ht="18" customHeight="1" x14ac:dyDescent="0.3"/>
    <row r="1311" ht="18" customHeight="1" x14ac:dyDescent="0.3"/>
    <row r="1312" ht="18" customHeight="1" x14ac:dyDescent="0.3"/>
    <row r="1313" ht="18" customHeight="1" x14ac:dyDescent="0.3"/>
    <row r="1314" ht="18" customHeight="1" x14ac:dyDescent="0.3"/>
    <row r="1315" ht="18" customHeight="1" x14ac:dyDescent="0.3"/>
    <row r="1316" ht="18" customHeight="1" x14ac:dyDescent="0.3"/>
    <row r="1317" ht="18" customHeight="1" x14ac:dyDescent="0.3"/>
    <row r="1318" ht="18" customHeight="1" x14ac:dyDescent="0.3"/>
    <row r="1319" ht="18" customHeight="1" x14ac:dyDescent="0.3"/>
    <row r="1320" ht="18" customHeight="1" x14ac:dyDescent="0.3"/>
    <row r="1321" ht="18" customHeight="1" x14ac:dyDescent="0.3"/>
    <row r="1322" ht="18" customHeight="1" x14ac:dyDescent="0.3"/>
    <row r="1323" ht="18" customHeight="1" x14ac:dyDescent="0.3"/>
    <row r="1324" ht="18" customHeight="1" x14ac:dyDescent="0.3"/>
    <row r="1325" ht="18" customHeight="1" x14ac:dyDescent="0.3"/>
    <row r="1326" ht="18" customHeight="1" x14ac:dyDescent="0.3"/>
    <row r="1327" ht="18" customHeight="1" x14ac:dyDescent="0.3"/>
    <row r="1328" ht="18" customHeight="1" x14ac:dyDescent="0.3"/>
    <row r="1329" ht="18" customHeight="1" x14ac:dyDescent="0.3"/>
    <row r="1330" ht="18" customHeight="1" x14ac:dyDescent="0.3"/>
    <row r="1331" ht="18" customHeight="1" x14ac:dyDescent="0.3"/>
    <row r="1332" ht="18" customHeight="1" x14ac:dyDescent="0.3"/>
    <row r="1333" ht="18" customHeight="1" x14ac:dyDescent="0.3"/>
    <row r="1334" ht="18" customHeight="1" x14ac:dyDescent="0.3"/>
    <row r="1335" ht="18" customHeight="1" x14ac:dyDescent="0.3"/>
    <row r="1336" ht="18" customHeight="1" x14ac:dyDescent="0.3"/>
    <row r="1337" ht="18" customHeight="1" x14ac:dyDescent="0.3"/>
    <row r="1338" ht="18" customHeight="1" x14ac:dyDescent="0.3"/>
    <row r="1339" ht="18" customHeight="1" x14ac:dyDescent="0.3"/>
    <row r="1340" ht="18" customHeight="1" x14ac:dyDescent="0.3"/>
    <row r="1341" ht="18" customHeight="1" x14ac:dyDescent="0.3"/>
    <row r="1342" ht="18" customHeight="1" x14ac:dyDescent="0.3"/>
    <row r="1343" ht="18" customHeight="1" x14ac:dyDescent="0.3"/>
    <row r="1344" ht="18" customHeight="1" x14ac:dyDescent="0.3"/>
    <row r="1345" ht="18" customHeight="1" x14ac:dyDescent="0.3"/>
    <row r="1346" ht="18" customHeight="1" x14ac:dyDescent="0.3"/>
    <row r="1347" ht="18" customHeight="1" x14ac:dyDescent="0.3"/>
    <row r="1348" ht="18" customHeight="1" x14ac:dyDescent="0.3"/>
    <row r="1349" ht="18" customHeight="1" x14ac:dyDescent="0.3"/>
    <row r="1350" ht="18" customHeight="1" x14ac:dyDescent="0.3"/>
    <row r="1351" ht="18" customHeight="1" x14ac:dyDescent="0.3"/>
    <row r="1352" ht="18" customHeight="1" x14ac:dyDescent="0.3"/>
    <row r="1353" ht="18" customHeight="1" x14ac:dyDescent="0.3"/>
    <row r="1354" ht="18" customHeight="1" x14ac:dyDescent="0.3"/>
    <row r="1355" ht="18" customHeight="1" x14ac:dyDescent="0.3"/>
    <row r="1356" ht="18" customHeight="1" x14ac:dyDescent="0.3"/>
    <row r="1357" ht="18" customHeight="1" x14ac:dyDescent="0.3"/>
    <row r="1358" ht="18" customHeight="1" x14ac:dyDescent="0.3"/>
    <row r="1359" ht="18" customHeight="1" x14ac:dyDescent="0.3"/>
    <row r="1360" ht="18" customHeight="1" x14ac:dyDescent="0.3"/>
    <row r="1361" ht="18" customHeight="1" x14ac:dyDescent="0.3"/>
    <row r="1362" ht="18" customHeight="1" x14ac:dyDescent="0.3"/>
    <row r="1363" ht="18" customHeight="1" x14ac:dyDescent="0.3"/>
    <row r="1364" ht="18" customHeight="1" x14ac:dyDescent="0.3"/>
    <row r="1365" ht="18" customHeight="1" x14ac:dyDescent="0.3"/>
    <row r="1366" ht="18" customHeight="1" x14ac:dyDescent="0.3"/>
    <row r="1367" ht="18" customHeight="1" x14ac:dyDescent="0.3"/>
    <row r="1368" ht="18" customHeight="1" x14ac:dyDescent="0.3"/>
    <row r="1369" ht="18" customHeight="1" x14ac:dyDescent="0.3"/>
    <row r="1370" ht="18" customHeight="1" x14ac:dyDescent="0.3"/>
    <row r="1371" ht="18" customHeight="1" x14ac:dyDescent="0.3"/>
    <row r="1372" ht="18" customHeight="1" x14ac:dyDescent="0.3"/>
    <row r="1373" ht="18" customHeight="1" x14ac:dyDescent="0.3"/>
    <row r="1374" ht="18" customHeight="1" x14ac:dyDescent="0.3"/>
    <row r="1375" ht="18" customHeight="1" x14ac:dyDescent="0.3"/>
    <row r="1376" ht="18" customHeight="1" x14ac:dyDescent="0.3"/>
    <row r="1377" ht="18" customHeight="1" x14ac:dyDescent="0.3"/>
    <row r="1378" ht="18" customHeight="1" x14ac:dyDescent="0.3"/>
    <row r="1379" ht="18" customHeight="1" x14ac:dyDescent="0.3"/>
    <row r="1380" ht="18" customHeight="1" x14ac:dyDescent="0.3"/>
    <row r="1381" ht="18" customHeight="1" x14ac:dyDescent="0.3"/>
    <row r="1382" ht="18" customHeight="1" x14ac:dyDescent="0.3"/>
    <row r="1383" ht="18" customHeight="1" x14ac:dyDescent="0.3"/>
    <row r="1384" ht="18" customHeight="1" x14ac:dyDescent="0.3"/>
    <row r="1385" ht="18" customHeight="1" x14ac:dyDescent="0.3"/>
    <row r="1386" ht="18" customHeight="1" x14ac:dyDescent="0.3"/>
    <row r="1387" ht="18" customHeight="1" x14ac:dyDescent="0.3"/>
    <row r="1388" ht="18" customHeight="1" x14ac:dyDescent="0.3"/>
    <row r="1389" ht="18" customHeight="1" x14ac:dyDescent="0.3"/>
    <row r="1390" ht="18" customHeight="1" x14ac:dyDescent="0.3"/>
    <row r="1391" ht="18" customHeight="1" x14ac:dyDescent="0.3"/>
    <row r="1392" ht="18" customHeight="1" x14ac:dyDescent="0.3"/>
    <row r="1393" ht="18" customHeight="1" x14ac:dyDescent="0.3"/>
    <row r="1394" ht="18" customHeight="1" x14ac:dyDescent="0.3"/>
    <row r="1395" ht="18" customHeight="1" x14ac:dyDescent="0.3"/>
    <row r="1396" ht="18" customHeight="1" x14ac:dyDescent="0.3"/>
    <row r="1397" ht="18" customHeight="1" x14ac:dyDescent="0.3"/>
    <row r="1398" ht="18" customHeight="1" x14ac:dyDescent="0.3"/>
    <row r="1399" ht="18" customHeight="1" x14ac:dyDescent="0.3"/>
    <row r="1400" ht="18" customHeight="1" x14ac:dyDescent="0.3"/>
    <row r="1401" ht="18" customHeight="1" x14ac:dyDescent="0.3"/>
    <row r="1402" ht="18" customHeight="1" x14ac:dyDescent="0.3"/>
    <row r="1403" ht="18" customHeight="1" x14ac:dyDescent="0.3"/>
    <row r="1404" ht="18" customHeight="1" x14ac:dyDescent="0.3"/>
    <row r="1405" ht="18" customHeight="1" x14ac:dyDescent="0.3"/>
    <row r="1406" ht="18" customHeight="1" x14ac:dyDescent="0.3"/>
    <row r="1407" ht="18" customHeight="1" x14ac:dyDescent="0.3"/>
    <row r="1408" ht="18" customHeight="1" x14ac:dyDescent="0.3"/>
    <row r="1409" ht="18" customHeight="1" x14ac:dyDescent="0.3"/>
    <row r="1410" ht="18" customHeight="1" x14ac:dyDescent="0.3"/>
    <row r="1411" ht="18" customHeight="1" x14ac:dyDescent="0.3"/>
    <row r="1412" ht="18" customHeight="1" x14ac:dyDescent="0.3"/>
    <row r="1413" ht="18" customHeight="1" x14ac:dyDescent="0.3"/>
    <row r="1414" ht="18" customHeight="1" x14ac:dyDescent="0.3"/>
    <row r="1415" ht="18" customHeight="1" x14ac:dyDescent="0.3"/>
    <row r="1416" ht="18" customHeight="1" x14ac:dyDescent="0.3"/>
    <row r="1417" ht="18" customHeight="1" x14ac:dyDescent="0.3"/>
    <row r="1418" ht="18" customHeight="1" x14ac:dyDescent="0.3"/>
    <row r="1419" ht="18" customHeight="1" x14ac:dyDescent="0.3"/>
    <row r="1420" ht="18" customHeight="1" x14ac:dyDescent="0.3"/>
    <row r="1421" ht="18" customHeight="1" x14ac:dyDescent="0.3"/>
    <row r="1422" ht="18" customHeight="1" x14ac:dyDescent="0.3"/>
    <row r="1423" ht="18" customHeight="1" x14ac:dyDescent="0.3"/>
    <row r="1424" ht="18" customHeight="1" x14ac:dyDescent="0.3"/>
    <row r="1425" ht="18" customHeight="1" x14ac:dyDescent="0.3"/>
    <row r="1426" ht="18" customHeight="1" x14ac:dyDescent="0.3"/>
    <row r="1427" ht="18" customHeight="1" x14ac:dyDescent="0.3"/>
    <row r="1428" ht="18" customHeight="1" x14ac:dyDescent="0.3"/>
    <row r="1429" ht="18" customHeight="1" x14ac:dyDescent="0.3"/>
    <row r="1430" ht="18" customHeight="1" x14ac:dyDescent="0.3"/>
    <row r="1431" ht="18" customHeight="1" x14ac:dyDescent="0.3"/>
    <row r="1432" ht="18" customHeight="1" x14ac:dyDescent="0.3"/>
    <row r="1433" ht="18" customHeight="1" x14ac:dyDescent="0.3"/>
    <row r="1434" ht="18" customHeight="1" x14ac:dyDescent="0.3"/>
    <row r="1435" ht="18" customHeight="1" x14ac:dyDescent="0.3"/>
    <row r="1436" ht="18" customHeight="1" x14ac:dyDescent="0.3"/>
    <row r="1437" ht="18" customHeight="1" x14ac:dyDescent="0.3"/>
    <row r="1438" ht="18" customHeight="1" x14ac:dyDescent="0.3"/>
    <row r="1439" ht="18" customHeight="1" x14ac:dyDescent="0.3"/>
    <row r="1440" ht="18" customHeight="1" x14ac:dyDescent="0.3"/>
    <row r="1441" ht="18" customHeight="1" x14ac:dyDescent="0.3"/>
    <row r="1442" ht="18" customHeight="1" x14ac:dyDescent="0.3"/>
    <row r="1443" ht="18" customHeight="1" x14ac:dyDescent="0.3"/>
    <row r="1444" ht="18" customHeight="1" x14ac:dyDescent="0.3"/>
    <row r="1445" ht="18" customHeight="1" x14ac:dyDescent="0.3"/>
    <row r="1446" ht="18" customHeight="1" x14ac:dyDescent="0.3"/>
    <row r="1447" ht="18" customHeight="1" x14ac:dyDescent="0.3"/>
    <row r="1448" ht="18" customHeight="1" x14ac:dyDescent="0.3"/>
    <row r="1449" ht="18" customHeight="1" x14ac:dyDescent="0.3"/>
    <row r="1450" ht="18" customHeight="1" x14ac:dyDescent="0.3"/>
    <row r="1451" ht="18" customHeight="1" x14ac:dyDescent="0.3"/>
    <row r="1452" ht="18" customHeight="1" x14ac:dyDescent="0.3"/>
    <row r="1453" ht="18" customHeight="1" x14ac:dyDescent="0.3"/>
    <row r="1454" ht="18" customHeight="1" x14ac:dyDescent="0.3"/>
    <row r="1455" ht="18" customHeight="1" x14ac:dyDescent="0.3"/>
    <row r="1456" ht="18" customHeight="1" x14ac:dyDescent="0.3"/>
    <row r="1457" ht="18" customHeight="1" x14ac:dyDescent="0.3"/>
    <row r="1458" ht="18" customHeight="1" x14ac:dyDescent="0.3"/>
    <row r="1459" ht="18" customHeight="1" x14ac:dyDescent="0.3"/>
    <row r="1460" ht="18" customHeight="1" x14ac:dyDescent="0.3"/>
    <row r="1461" ht="18" customHeight="1" x14ac:dyDescent="0.3"/>
    <row r="1462" ht="18" customHeight="1" x14ac:dyDescent="0.3"/>
    <row r="1463" ht="18" customHeight="1" x14ac:dyDescent="0.3"/>
    <row r="1464" ht="18" customHeight="1" x14ac:dyDescent="0.3"/>
    <row r="1465" ht="18" customHeight="1" x14ac:dyDescent="0.3"/>
    <row r="1466" ht="18" customHeight="1" x14ac:dyDescent="0.3"/>
    <row r="1467" ht="18" customHeight="1" x14ac:dyDescent="0.3"/>
    <row r="1468" ht="18" customHeight="1" x14ac:dyDescent="0.3"/>
    <row r="1469" ht="18" customHeight="1" x14ac:dyDescent="0.3"/>
    <row r="1470" ht="18" customHeight="1" x14ac:dyDescent="0.3"/>
    <row r="1471" ht="18" customHeight="1" x14ac:dyDescent="0.3"/>
    <row r="1472" ht="18" customHeight="1" x14ac:dyDescent="0.3"/>
    <row r="1473" ht="18" customHeight="1" x14ac:dyDescent="0.3"/>
    <row r="1474" ht="18" customHeight="1" x14ac:dyDescent="0.3"/>
    <row r="1475" ht="18" customHeight="1" x14ac:dyDescent="0.3"/>
    <row r="1476" ht="18" customHeight="1" x14ac:dyDescent="0.3"/>
    <row r="1477" ht="18" customHeight="1" x14ac:dyDescent="0.3"/>
    <row r="1478" ht="18" customHeight="1" x14ac:dyDescent="0.3"/>
    <row r="1479" ht="18" customHeight="1" x14ac:dyDescent="0.3"/>
    <row r="1480" ht="18" customHeight="1" x14ac:dyDescent="0.3"/>
    <row r="1481" ht="18" customHeight="1" x14ac:dyDescent="0.3"/>
    <row r="1482" ht="18" customHeight="1" x14ac:dyDescent="0.3"/>
    <row r="1483" ht="18" customHeight="1" x14ac:dyDescent="0.3"/>
    <row r="1484" ht="18" customHeight="1" x14ac:dyDescent="0.3"/>
    <row r="1485" ht="18" customHeight="1" x14ac:dyDescent="0.3"/>
    <row r="1486" ht="18" customHeight="1" x14ac:dyDescent="0.3"/>
    <row r="1487" ht="18" customHeight="1" x14ac:dyDescent="0.3"/>
    <row r="1488" ht="18" customHeight="1" x14ac:dyDescent="0.3"/>
    <row r="1489" ht="18" customHeight="1" x14ac:dyDescent="0.3"/>
    <row r="1490" ht="18" customHeight="1" x14ac:dyDescent="0.3"/>
    <row r="1491" ht="18" customHeight="1" x14ac:dyDescent="0.3"/>
    <row r="1492" ht="18" customHeight="1" x14ac:dyDescent="0.3"/>
    <row r="1493" ht="18" customHeight="1" x14ac:dyDescent="0.3"/>
    <row r="1494" ht="18" customHeight="1" x14ac:dyDescent="0.3"/>
    <row r="1495" ht="18" customHeight="1" x14ac:dyDescent="0.3"/>
    <row r="1496" ht="18" customHeight="1" x14ac:dyDescent="0.3"/>
    <row r="1497" ht="18" customHeight="1" x14ac:dyDescent="0.3"/>
    <row r="1498" ht="18" customHeight="1" x14ac:dyDescent="0.3"/>
    <row r="1499" ht="18" customHeight="1" x14ac:dyDescent="0.3"/>
    <row r="1500" ht="18" customHeight="1" x14ac:dyDescent="0.3"/>
    <row r="1501" ht="18" customHeight="1" x14ac:dyDescent="0.3"/>
    <row r="1502" ht="18" customHeight="1" x14ac:dyDescent="0.3"/>
    <row r="1503" ht="18" customHeight="1" x14ac:dyDescent="0.3"/>
    <row r="1504" ht="18" customHeight="1" x14ac:dyDescent="0.3"/>
    <row r="1505" ht="18" customHeight="1" x14ac:dyDescent="0.3"/>
    <row r="1506" ht="18" customHeight="1" x14ac:dyDescent="0.3"/>
    <row r="1507" ht="18" customHeight="1" x14ac:dyDescent="0.3"/>
    <row r="1508" ht="18" customHeight="1" x14ac:dyDescent="0.3"/>
    <row r="1509" ht="18" customHeight="1" x14ac:dyDescent="0.3"/>
    <row r="1510" ht="18" customHeight="1" x14ac:dyDescent="0.3"/>
    <row r="1511" ht="18" customHeight="1" x14ac:dyDescent="0.3"/>
    <row r="1512" ht="18" customHeight="1" x14ac:dyDescent="0.3"/>
    <row r="1513" ht="18" customHeight="1" x14ac:dyDescent="0.3"/>
    <row r="1514" ht="18" customHeight="1" x14ac:dyDescent="0.3"/>
    <row r="1515" ht="18" customHeight="1" x14ac:dyDescent="0.3"/>
    <row r="1516" ht="18" customHeight="1" x14ac:dyDescent="0.3"/>
    <row r="1517" ht="18" customHeight="1" x14ac:dyDescent="0.3"/>
    <row r="1518" ht="18" customHeight="1" x14ac:dyDescent="0.3"/>
    <row r="1519" ht="18" customHeight="1" x14ac:dyDescent="0.3"/>
    <row r="1520" ht="18" customHeight="1" x14ac:dyDescent="0.3"/>
    <row r="1521" ht="18" customHeight="1" x14ac:dyDescent="0.3"/>
    <row r="1522" ht="18" customHeight="1" x14ac:dyDescent="0.3"/>
    <row r="1523" ht="18" customHeight="1" x14ac:dyDescent="0.3"/>
    <row r="1524" ht="18" customHeight="1" x14ac:dyDescent="0.3"/>
    <row r="1525" ht="18" customHeight="1" x14ac:dyDescent="0.3"/>
    <row r="1526" ht="18" customHeight="1" x14ac:dyDescent="0.3"/>
    <row r="1527" ht="18" customHeight="1" x14ac:dyDescent="0.3"/>
    <row r="1528" ht="18" customHeight="1" x14ac:dyDescent="0.3"/>
    <row r="1529" ht="18" customHeight="1" x14ac:dyDescent="0.3"/>
    <row r="1530" ht="18" customHeight="1" x14ac:dyDescent="0.3"/>
    <row r="1531" ht="18" customHeight="1" x14ac:dyDescent="0.3"/>
    <row r="1532" ht="18" customHeight="1" x14ac:dyDescent="0.3"/>
    <row r="1533" ht="18" customHeight="1" x14ac:dyDescent="0.3"/>
    <row r="1534" ht="18" customHeight="1" x14ac:dyDescent="0.3"/>
    <row r="1535" ht="18" customHeight="1" x14ac:dyDescent="0.3"/>
    <row r="1536" ht="18" customHeight="1" x14ac:dyDescent="0.3"/>
    <row r="1537" ht="18" customHeight="1" x14ac:dyDescent="0.3"/>
    <row r="1538" ht="18" customHeight="1" x14ac:dyDescent="0.3"/>
    <row r="1539" ht="18" customHeight="1" x14ac:dyDescent="0.3"/>
    <row r="1540" ht="18" customHeight="1" x14ac:dyDescent="0.3"/>
    <row r="1541" ht="18" customHeight="1" x14ac:dyDescent="0.3"/>
    <row r="1542" ht="18" customHeight="1" x14ac:dyDescent="0.3"/>
    <row r="1543" ht="18" customHeight="1" x14ac:dyDescent="0.3"/>
    <row r="1544" ht="18" customHeight="1" x14ac:dyDescent="0.3"/>
    <row r="1545" ht="18" customHeight="1" x14ac:dyDescent="0.3"/>
    <row r="1546" ht="18" customHeight="1" x14ac:dyDescent="0.3"/>
    <row r="1547" ht="18" customHeight="1" x14ac:dyDescent="0.3"/>
    <row r="1548" ht="18" customHeight="1" x14ac:dyDescent="0.3"/>
    <row r="1549" ht="18" customHeight="1" x14ac:dyDescent="0.3"/>
    <row r="1550" ht="18" customHeight="1" x14ac:dyDescent="0.3"/>
    <row r="1551" ht="18" customHeight="1" x14ac:dyDescent="0.3"/>
    <row r="1552" ht="18" customHeight="1" x14ac:dyDescent="0.3"/>
    <row r="1553" ht="18" customHeight="1" x14ac:dyDescent="0.3"/>
    <row r="1554" ht="18" customHeight="1" x14ac:dyDescent="0.3"/>
    <row r="1555" ht="18" customHeight="1" x14ac:dyDescent="0.3"/>
    <row r="1556" ht="18" customHeight="1" x14ac:dyDescent="0.3"/>
    <row r="1557" ht="18" customHeight="1" x14ac:dyDescent="0.3"/>
    <row r="1558" ht="18" customHeight="1" x14ac:dyDescent="0.3"/>
    <row r="1559" ht="18" customHeight="1" x14ac:dyDescent="0.3"/>
    <row r="1560" ht="18" customHeight="1" x14ac:dyDescent="0.3"/>
    <row r="1561" ht="18" customHeight="1" x14ac:dyDescent="0.3"/>
    <row r="1562" ht="18" customHeight="1" x14ac:dyDescent="0.3"/>
    <row r="1563" ht="18" customHeight="1" x14ac:dyDescent="0.3"/>
    <row r="1564" ht="18" customHeight="1" x14ac:dyDescent="0.3"/>
    <row r="1565" ht="18" customHeight="1" x14ac:dyDescent="0.3"/>
    <row r="1566" ht="18" customHeight="1" x14ac:dyDescent="0.3"/>
    <row r="1567" ht="18" customHeight="1" x14ac:dyDescent="0.3"/>
    <row r="1568" ht="18" customHeight="1" x14ac:dyDescent="0.3"/>
    <row r="1569" ht="18" customHeight="1" x14ac:dyDescent="0.3"/>
    <row r="1570" ht="18" customHeight="1" x14ac:dyDescent="0.3"/>
    <row r="1571" ht="18" customHeight="1" x14ac:dyDescent="0.3"/>
    <row r="1572" ht="18" customHeight="1" x14ac:dyDescent="0.3"/>
    <row r="1573" ht="18" customHeight="1" x14ac:dyDescent="0.3"/>
    <row r="1574" ht="18" customHeight="1" x14ac:dyDescent="0.3"/>
    <row r="1575" ht="18" customHeight="1" x14ac:dyDescent="0.3"/>
    <row r="1576" ht="18" customHeight="1" x14ac:dyDescent="0.3"/>
    <row r="1577" ht="18" customHeight="1" x14ac:dyDescent="0.3"/>
    <row r="1578" ht="18" customHeight="1" x14ac:dyDescent="0.3"/>
    <row r="1579" ht="18" customHeight="1" x14ac:dyDescent="0.3"/>
    <row r="1580" ht="18" customHeight="1" x14ac:dyDescent="0.3"/>
    <row r="1581" ht="18" customHeight="1" x14ac:dyDescent="0.3"/>
    <row r="1582" ht="18" customHeight="1" x14ac:dyDescent="0.3"/>
    <row r="1583" ht="18" customHeight="1" x14ac:dyDescent="0.3"/>
    <row r="1584" ht="18" customHeight="1" x14ac:dyDescent="0.3"/>
    <row r="1585" ht="18" customHeight="1" x14ac:dyDescent="0.3"/>
    <row r="1586" ht="18" customHeight="1" x14ac:dyDescent="0.3"/>
    <row r="1587" ht="18" customHeight="1" x14ac:dyDescent="0.3"/>
    <row r="1588" ht="18" customHeight="1" x14ac:dyDescent="0.3"/>
    <row r="1589" ht="18" customHeight="1" x14ac:dyDescent="0.3"/>
    <row r="1590" ht="18" customHeight="1" x14ac:dyDescent="0.3"/>
    <row r="1591" ht="18" customHeight="1" x14ac:dyDescent="0.3"/>
    <row r="1592" ht="18" customHeight="1" x14ac:dyDescent="0.3"/>
    <row r="1593" ht="18" customHeight="1" x14ac:dyDescent="0.3"/>
    <row r="1594" ht="18" customHeight="1" x14ac:dyDescent="0.3"/>
    <row r="1595" ht="18" customHeight="1" x14ac:dyDescent="0.3"/>
    <row r="1596" ht="18" customHeight="1" x14ac:dyDescent="0.3"/>
    <row r="1597" ht="18" customHeight="1" x14ac:dyDescent="0.3"/>
    <row r="1598" ht="18" customHeight="1" x14ac:dyDescent="0.3"/>
    <row r="1599" ht="18" customHeight="1" x14ac:dyDescent="0.3"/>
    <row r="1600" ht="18" customHeight="1" x14ac:dyDescent="0.3"/>
    <row r="1601" ht="18" customHeight="1" x14ac:dyDescent="0.3"/>
    <row r="1602" ht="18" customHeight="1" x14ac:dyDescent="0.3"/>
    <row r="1603" ht="18" customHeight="1" x14ac:dyDescent="0.3"/>
    <row r="1604" ht="18" customHeight="1" x14ac:dyDescent="0.3"/>
    <row r="1605" ht="18" customHeight="1" x14ac:dyDescent="0.3"/>
    <row r="1606" ht="18" customHeight="1" x14ac:dyDescent="0.3"/>
    <row r="1607" ht="18" customHeight="1" x14ac:dyDescent="0.3"/>
    <row r="1608" ht="18" customHeight="1" x14ac:dyDescent="0.3"/>
    <row r="1609" ht="18" customHeight="1" x14ac:dyDescent="0.3"/>
    <row r="1610" ht="18" customHeight="1" x14ac:dyDescent="0.3"/>
    <row r="1611" ht="18" customHeight="1" x14ac:dyDescent="0.3"/>
    <row r="1612" ht="18" customHeight="1" x14ac:dyDescent="0.3"/>
    <row r="1613" ht="18" customHeight="1" x14ac:dyDescent="0.3"/>
    <row r="1614" ht="18" customHeight="1" x14ac:dyDescent="0.3"/>
    <row r="1615" ht="18" customHeight="1" x14ac:dyDescent="0.3"/>
    <row r="1616" ht="18" customHeight="1" x14ac:dyDescent="0.3"/>
    <row r="1617" ht="18" customHeight="1" x14ac:dyDescent="0.3"/>
    <row r="1618" ht="18" customHeight="1" x14ac:dyDescent="0.3"/>
    <row r="1619" ht="18" customHeight="1" x14ac:dyDescent="0.3"/>
    <row r="1620" ht="18" customHeight="1" x14ac:dyDescent="0.3"/>
    <row r="1621" ht="18" customHeight="1" x14ac:dyDescent="0.3"/>
    <row r="1622" ht="18" customHeight="1" x14ac:dyDescent="0.3"/>
    <row r="1623" ht="18" customHeight="1" x14ac:dyDescent="0.3"/>
    <row r="1624" ht="18" customHeight="1" x14ac:dyDescent="0.3"/>
    <row r="1625" ht="18" customHeight="1" x14ac:dyDescent="0.3"/>
    <row r="1626" ht="18" customHeight="1" x14ac:dyDescent="0.3"/>
    <row r="1627" ht="18" customHeight="1" x14ac:dyDescent="0.3"/>
    <row r="1628" ht="18" customHeight="1" x14ac:dyDescent="0.3"/>
    <row r="1629" ht="18" customHeight="1" x14ac:dyDescent="0.3"/>
    <row r="1630" ht="18" customHeight="1" x14ac:dyDescent="0.3"/>
    <row r="1631" ht="18" customHeight="1" x14ac:dyDescent="0.3"/>
    <row r="1632" ht="18" customHeight="1" x14ac:dyDescent="0.3"/>
    <row r="1633" ht="18" customHeight="1" x14ac:dyDescent="0.3"/>
    <row r="1634" ht="18" customHeight="1" x14ac:dyDescent="0.3"/>
    <row r="1635" ht="18" customHeight="1" x14ac:dyDescent="0.3"/>
    <row r="1636" ht="18" customHeight="1" x14ac:dyDescent="0.3"/>
    <row r="1637" ht="18" customHeight="1" x14ac:dyDescent="0.3"/>
    <row r="1638" ht="18" customHeight="1" x14ac:dyDescent="0.3"/>
    <row r="1639" ht="18" customHeight="1" x14ac:dyDescent="0.3"/>
    <row r="1640" ht="18" customHeight="1" x14ac:dyDescent="0.3"/>
    <row r="1641" ht="18" customHeight="1" x14ac:dyDescent="0.3"/>
    <row r="1642" ht="18" customHeight="1" x14ac:dyDescent="0.3"/>
    <row r="1643" ht="18" customHeight="1" x14ac:dyDescent="0.3"/>
    <row r="1644" ht="18" customHeight="1" x14ac:dyDescent="0.3"/>
    <row r="1645" ht="18" customHeight="1" x14ac:dyDescent="0.3"/>
    <row r="1646" ht="18" customHeight="1" x14ac:dyDescent="0.3"/>
    <row r="1647" ht="18" customHeight="1" x14ac:dyDescent="0.3"/>
    <row r="1648" ht="18" customHeight="1" x14ac:dyDescent="0.3"/>
    <row r="1649" ht="18" customHeight="1" x14ac:dyDescent="0.3"/>
    <row r="1650" ht="18" customHeight="1" x14ac:dyDescent="0.3"/>
    <row r="1651" ht="18" customHeight="1" x14ac:dyDescent="0.3"/>
    <row r="1652" ht="18" customHeight="1" x14ac:dyDescent="0.3"/>
    <row r="1653" ht="18" customHeight="1" x14ac:dyDescent="0.3"/>
    <row r="1654" ht="18" customHeight="1" x14ac:dyDescent="0.3"/>
    <row r="1655" ht="18" customHeight="1" x14ac:dyDescent="0.3"/>
    <row r="1656" ht="18" customHeight="1" x14ac:dyDescent="0.3"/>
    <row r="1657" ht="18" customHeight="1" x14ac:dyDescent="0.3"/>
    <row r="1658" ht="18" customHeight="1" x14ac:dyDescent="0.3"/>
    <row r="1659" ht="18" customHeight="1" x14ac:dyDescent="0.3"/>
    <row r="1660" ht="18" customHeight="1" x14ac:dyDescent="0.3"/>
    <row r="1661" ht="18" customHeight="1" x14ac:dyDescent="0.3"/>
    <row r="1662" ht="18" customHeight="1" x14ac:dyDescent="0.3"/>
    <row r="1663" ht="18" customHeight="1" x14ac:dyDescent="0.3"/>
    <row r="1664" ht="18" customHeight="1" x14ac:dyDescent="0.3"/>
    <row r="1665" ht="18" customHeight="1" x14ac:dyDescent="0.3"/>
    <row r="1666" ht="18" customHeight="1" x14ac:dyDescent="0.3"/>
    <row r="1667" ht="18" customHeight="1" x14ac:dyDescent="0.3"/>
    <row r="1668" ht="18" customHeight="1" x14ac:dyDescent="0.3"/>
    <row r="1669" ht="18" customHeight="1" x14ac:dyDescent="0.3"/>
    <row r="1670" ht="18" customHeight="1" x14ac:dyDescent="0.3"/>
    <row r="1671" ht="18" customHeight="1" x14ac:dyDescent="0.3"/>
    <row r="1672" ht="18" customHeight="1" x14ac:dyDescent="0.3"/>
    <row r="1673" ht="18" customHeight="1" x14ac:dyDescent="0.3"/>
    <row r="1674" ht="18" customHeight="1" x14ac:dyDescent="0.3"/>
    <row r="1675" ht="18" customHeight="1" x14ac:dyDescent="0.3"/>
    <row r="1676" ht="18" customHeight="1" x14ac:dyDescent="0.3"/>
    <row r="1677" ht="18" customHeight="1" x14ac:dyDescent="0.3"/>
    <row r="1678" ht="18" customHeight="1" x14ac:dyDescent="0.3"/>
    <row r="1679" ht="18" customHeight="1" x14ac:dyDescent="0.3"/>
    <row r="1680" ht="18" customHeight="1" x14ac:dyDescent="0.3"/>
    <row r="1681" ht="18" customHeight="1" x14ac:dyDescent="0.3"/>
    <row r="1682" ht="18" customHeight="1" x14ac:dyDescent="0.3"/>
    <row r="1683" ht="18" customHeight="1" x14ac:dyDescent="0.3"/>
    <row r="1684" ht="18" customHeight="1" x14ac:dyDescent="0.3"/>
    <row r="1685" ht="18" customHeight="1" x14ac:dyDescent="0.3"/>
    <row r="1686" ht="18" customHeight="1" x14ac:dyDescent="0.3"/>
    <row r="1687" ht="18" customHeight="1" x14ac:dyDescent="0.3"/>
    <row r="1688" ht="18" customHeight="1" x14ac:dyDescent="0.3"/>
    <row r="1689" ht="18" customHeight="1" x14ac:dyDescent="0.3"/>
    <row r="1690" ht="18" customHeight="1" x14ac:dyDescent="0.3"/>
    <row r="1691" ht="18" customHeight="1" x14ac:dyDescent="0.3"/>
    <row r="1692" ht="18" customHeight="1" x14ac:dyDescent="0.3"/>
    <row r="1693" ht="18" customHeight="1" x14ac:dyDescent="0.3"/>
    <row r="1694" ht="18" customHeight="1" x14ac:dyDescent="0.3"/>
    <row r="1695" ht="18" customHeight="1" x14ac:dyDescent="0.3"/>
    <row r="1696" ht="18" customHeight="1" x14ac:dyDescent="0.3"/>
    <row r="1697" ht="18" customHeight="1" x14ac:dyDescent="0.3"/>
    <row r="1698" ht="18" customHeight="1" x14ac:dyDescent="0.3"/>
    <row r="1699" ht="18" customHeight="1" x14ac:dyDescent="0.3"/>
    <row r="1700" ht="18" customHeight="1" x14ac:dyDescent="0.3"/>
    <row r="1701" ht="18" customHeight="1" x14ac:dyDescent="0.3"/>
    <row r="1702" ht="18" customHeight="1" x14ac:dyDescent="0.3"/>
    <row r="1703" ht="18" customHeight="1" x14ac:dyDescent="0.3"/>
    <row r="1704" ht="18" customHeight="1" x14ac:dyDescent="0.3"/>
    <row r="1705" ht="18" customHeight="1" x14ac:dyDescent="0.3"/>
    <row r="1706" ht="18" customHeight="1" x14ac:dyDescent="0.3"/>
    <row r="1707" ht="18" customHeight="1" x14ac:dyDescent="0.3"/>
    <row r="1708" ht="18" customHeight="1" x14ac:dyDescent="0.3"/>
    <row r="1709" ht="18" customHeight="1" x14ac:dyDescent="0.3"/>
    <row r="1710" ht="18" customHeight="1" x14ac:dyDescent="0.3"/>
    <row r="1711" ht="18" customHeight="1" x14ac:dyDescent="0.3"/>
    <row r="1712" ht="18" customHeight="1" x14ac:dyDescent="0.3"/>
    <row r="1713" ht="18" customHeight="1" x14ac:dyDescent="0.3"/>
    <row r="1714" ht="18" customHeight="1" x14ac:dyDescent="0.3"/>
    <row r="1715" ht="18" customHeight="1" x14ac:dyDescent="0.3"/>
    <row r="1716" ht="18" customHeight="1" x14ac:dyDescent="0.3"/>
    <row r="1717" ht="18" customHeight="1" x14ac:dyDescent="0.3"/>
    <row r="1718" ht="18" customHeight="1" x14ac:dyDescent="0.3"/>
    <row r="1719" ht="18" customHeight="1" x14ac:dyDescent="0.3"/>
    <row r="1720" ht="18" customHeight="1" x14ac:dyDescent="0.3"/>
    <row r="1721" ht="18" customHeight="1" x14ac:dyDescent="0.3"/>
    <row r="1722" ht="18" customHeight="1" x14ac:dyDescent="0.3"/>
    <row r="1723" ht="18" customHeight="1" x14ac:dyDescent="0.3"/>
    <row r="1724" ht="18" customHeight="1" x14ac:dyDescent="0.3"/>
    <row r="1725" ht="18" customHeight="1" x14ac:dyDescent="0.3"/>
    <row r="1726" ht="18" customHeight="1" x14ac:dyDescent="0.3"/>
    <row r="1727" ht="18" customHeight="1" x14ac:dyDescent="0.3"/>
    <row r="1728" ht="18" customHeight="1" x14ac:dyDescent="0.3"/>
    <row r="1729" ht="18" customHeight="1" x14ac:dyDescent="0.3"/>
    <row r="1730" ht="18" customHeight="1" x14ac:dyDescent="0.3"/>
    <row r="1731" ht="18" customHeight="1" x14ac:dyDescent="0.3"/>
    <row r="1732" ht="18" customHeight="1" x14ac:dyDescent="0.3"/>
    <row r="1733" ht="18" customHeight="1" x14ac:dyDescent="0.3"/>
    <row r="1734" ht="18" customHeight="1" x14ac:dyDescent="0.3"/>
    <row r="1735" ht="18" customHeight="1" x14ac:dyDescent="0.3"/>
    <row r="1736" ht="18" customHeight="1" x14ac:dyDescent="0.3"/>
    <row r="1737" ht="18" customHeight="1" x14ac:dyDescent="0.3"/>
    <row r="1738" ht="18" customHeight="1" x14ac:dyDescent="0.3"/>
    <row r="1739" ht="18" customHeight="1" x14ac:dyDescent="0.3"/>
    <row r="1740" ht="18" customHeight="1" x14ac:dyDescent="0.3"/>
    <row r="1741" ht="18" customHeight="1" x14ac:dyDescent="0.3"/>
    <row r="1742" ht="18" customHeight="1" x14ac:dyDescent="0.3"/>
    <row r="1743" ht="18" customHeight="1" x14ac:dyDescent="0.3"/>
    <row r="1744" ht="18" customHeight="1" x14ac:dyDescent="0.3"/>
    <row r="1745" ht="18" customHeight="1" x14ac:dyDescent="0.3"/>
    <row r="1746" ht="18" customHeight="1" x14ac:dyDescent="0.3"/>
    <row r="1747" ht="18" customHeight="1" x14ac:dyDescent="0.3"/>
    <row r="1748" ht="18" customHeight="1" x14ac:dyDescent="0.3"/>
    <row r="1749" ht="18" customHeight="1" x14ac:dyDescent="0.3"/>
    <row r="1750" ht="18" customHeight="1" x14ac:dyDescent="0.3"/>
    <row r="1751" ht="18" customHeight="1" x14ac:dyDescent="0.3"/>
    <row r="1752" ht="18" customHeight="1" x14ac:dyDescent="0.3"/>
    <row r="1753" ht="18" customHeight="1" x14ac:dyDescent="0.3"/>
    <row r="1754" ht="18" customHeight="1" x14ac:dyDescent="0.3"/>
    <row r="1755" ht="18" customHeight="1" x14ac:dyDescent="0.3"/>
    <row r="1756" ht="18" customHeight="1" x14ac:dyDescent="0.3"/>
    <row r="1757" ht="18" customHeight="1" x14ac:dyDescent="0.3"/>
    <row r="1758" ht="18" customHeight="1" x14ac:dyDescent="0.3"/>
    <row r="1759" ht="18" customHeight="1" x14ac:dyDescent="0.3"/>
    <row r="1760" ht="18" customHeight="1" x14ac:dyDescent="0.3"/>
    <row r="1761" ht="18" customHeight="1" x14ac:dyDescent="0.3"/>
    <row r="1762" ht="18" customHeight="1" x14ac:dyDescent="0.3"/>
    <row r="1763" ht="18" customHeight="1" x14ac:dyDescent="0.3"/>
    <row r="1764" ht="18" customHeight="1" x14ac:dyDescent="0.3"/>
    <row r="1765" ht="6" customHeight="1" x14ac:dyDescent="0.3"/>
    <row r="1766" ht="48" customHeight="1" x14ac:dyDescent="0.3"/>
    <row r="1767" ht="21.75" customHeight="1" x14ac:dyDescent="0.3"/>
    <row r="1768" ht="21.75" customHeight="1" x14ac:dyDescent="0.3"/>
    <row r="1769" ht="21.75" customHeight="1" x14ac:dyDescent="0.3"/>
    <row r="1770" ht="21.75" customHeight="1" x14ac:dyDescent="0.3"/>
    <row r="1771" ht="21.75" customHeight="1" x14ac:dyDescent="0.3"/>
    <row r="1772" ht="6" customHeight="1" x14ac:dyDescent="0.3"/>
    <row r="1773" ht="48" customHeight="1" x14ac:dyDescent="0.3"/>
    <row r="1774" ht="21.75" customHeight="1" x14ac:dyDescent="0.3"/>
    <row r="1775" ht="21.75" customHeight="1" x14ac:dyDescent="0.3"/>
    <row r="1776" ht="21.75" customHeight="1" x14ac:dyDescent="0.3"/>
    <row r="1777" ht="21.75" customHeight="1" x14ac:dyDescent="0.3"/>
    <row r="1778" ht="21.75" customHeight="1" x14ac:dyDescent="0.3"/>
    <row r="1779" ht="6" customHeight="1" x14ac:dyDescent="0.3"/>
    <row r="1780" ht="48" customHeight="1" x14ac:dyDescent="0.3"/>
    <row r="1781" ht="21.75" customHeight="1" x14ac:dyDescent="0.3"/>
    <row r="1782" ht="21.75" customHeight="1" x14ac:dyDescent="0.3"/>
    <row r="1783" ht="21.75" customHeight="1" x14ac:dyDescent="0.3"/>
    <row r="1784" ht="21.75" customHeight="1" x14ac:dyDescent="0.3"/>
    <row r="1785" ht="21.75" customHeight="1" x14ac:dyDescent="0.3"/>
    <row r="1786" ht="6" customHeight="1" x14ac:dyDescent="0.3"/>
    <row r="1787" ht="48" customHeight="1" x14ac:dyDescent="0.3"/>
    <row r="1788" ht="21.75" customHeight="1" x14ac:dyDescent="0.3"/>
    <row r="1789" ht="21.75" customHeight="1" x14ac:dyDescent="0.3"/>
    <row r="1790" ht="21.75" customHeight="1" x14ac:dyDescent="0.3"/>
    <row r="1791" ht="21.75" customHeight="1" x14ac:dyDescent="0.3"/>
    <row r="1792" ht="21.75" customHeight="1" x14ac:dyDescent="0.3"/>
    <row r="1793" ht="6" customHeight="1" x14ac:dyDescent="0.3"/>
    <row r="1794" ht="48" customHeight="1" x14ac:dyDescent="0.3"/>
    <row r="1795" ht="21.75" customHeight="1" x14ac:dyDescent="0.3"/>
    <row r="1796" ht="21.75" customHeight="1" x14ac:dyDescent="0.3"/>
    <row r="1797" ht="21.75" customHeight="1" x14ac:dyDescent="0.3"/>
    <row r="1798" ht="21.75" customHeight="1" x14ac:dyDescent="0.3"/>
    <row r="1799" ht="21.75" customHeight="1" x14ac:dyDescent="0.3"/>
    <row r="1800" ht="21.75" customHeight="1" x14ac:dyDescent="0.3"/>
    <row r="1801" ht="21.75" customHeight="1" x14ac:dyDescent="0.3"/>
    <row r="1802" ht="6" customHeight="1" x14ac:dyDescent="0.3"/>
    <row r="1803" ht="48" customHeight="1" x14ac:dyDescent="0.3"/>
    <row r="1804" ht="21.75" customHeight="1" x14ac:dyDescent="0.3"/>
    <row r="1805" ht="21.75" customHeight="1" x14ac:dyDescent="0.3"/>
    <row r="1806" ht="21.75" customHeight="1" x14ac:dyDescent="0.3"/>
    <row r="1807" ht="21.75" customHeight="1" x14ac:dyDescent="0.3"/>
    <row r="1808" ht="21.75" customHeight="1" x14ac:dyDescent="0.3"/>
    <row r="1809" ht="6" customHeight="1" x14ac:dyDescent="0.3"/>
    <row r="1810" ht="48" customHeight="1" x14ac:dyDescent="0.3"/>
    <row r="1811" ht="21.75" customHeight="1" x14ac:dyDescent="0.3"/>
    <row r="1812" ht="21.75" customHeight="1" x14ac:dyDescent="0.3"/>
    <row r="1813" ht="21.75" customHeight="1" x14ac:dyDescent="0.3"/>
    <row r="1814" ht="21.75" customHeight="1" x14ac:dyDescent="0.3"/>
    <row r="1815" ht="21.75" customHeight="1" x14ac:dyDescent="0.3"/>
    <row r="1816" ht="6" customHeight="1" x14ac:dyDescent="0.3"/>
    <row r="1817" ht="48" customHeight="1" x14ac:dyDescent="0.3"/>
    <row r="1818" ht="21.75" customHeight="1" x14ac:dyDescent="0.3"/>
    <row r="1819" ht="21.75" customHeight="1" x14ac:dyDescent="0.3"/>
    <row r="1820" ht="21.75" customHeight="1" x14ac:dyDescent="0.3"/>
    <row r="1821" ht="21.75" customHeight="1" x14ac:dyDescent="0.3"/>
    <row r="1822" ht="21.75" customHeight="1" x14ac:dyDescent="0.3"/>
    <row r="1823" ht="6" customHeight="1" x14ac:dyDescent="0.3"/>
    <row r="1824" ht="48" customHeight="1" x14ac:dyDescent="0.3"/>
    <row r="1825" ht="21.75" customHeight="1" x14ac:dyDescent="0.3"/>
    <row r="1826" ht="21.75" customHeight="1" x14ac:dyDescent="0.3"/>
    <row r="1827" ht="21.75" customHeight="1" x14ac:dyDescent="0.3"/>
    <row r="1828" ht="21.75" customHeight="1" x14ac:dyDescent="0.3"/>
    <row r="1829" ht="21.75" customHeight="1" x14ac:dyDescent="0.3"/>
    <row r="1830" ht="6" customHeight="1" x14ac:dyDescent="0.3"/>
    <row r="1831" ht="64.05" customHeight="1" x14ac:dyDescent="0.3"/>
    <row r="1832" ht="21.75" customHeight="1" x14ac:dyDescent="0.3"/>
    <row r="1833" ht="21.75" customHeight="1" x14ac:dyDescent="0.3"/>
    <row r="1834" ht="21.75" customHeight="1" x14ac:dyDescent="0.3"/>
    <row r="1835" ht="21.75" customHeight="1" x14ac:dyDescent="0.3"/>
    <row r="1836" ht="21.75" customHeight="1" x14ac:dyDescent="0.3"/>
    <row r="1837" ht="6" customHeight="1" x14ac:dyDescent="0.3"/>
    <row r="1838" ht="48" customHeight="1" x14ac:dyDescent="0.3"/>
    <row r="1839" ht="21.75" customHeight="1" x14ac:dyDescent="0.3"/>
    <row r="1840" ht="21.75" customHeight="1" x14ac:dyDescent="0.3"/>
    <row r="1841" ht="21.75" customHeight="1" x14ac:dyDescent="0.3"/>
    <row r="1842" ht="21.75" customHeight="1" x14ac:dyDescent="0.3"/>
    <row r="1843" ht="21.75" customHeight="1" x14ac:dyDescent="0.3"/>
    <row r="1844" ht="6" customHeight="1" x14ac:dyDescent="0.3"/>
    <row r="1845" ht="48" customHeight="1" x14ac:dyDescent="0.3"/>
    <row r="1846" ht="21.75" customHeight="1" x14ac:dyDescent="0.3"/>
    <row r="1847" ht="21.75" customHeight="1" x14ac:dyDescent="0.3"/>
    <row r="1848" ht="21.75" customHeight="1" x14ac:dyDescent="0.3"/>
    <row r="1849" ht="21.75" customHeight="1" x14ac:dyDescent="0.3"/>
    <row r="1850" ht="21.75" customHeight="1" x14ac:dyDescent="0.3"/>
    <row r="1851" ht="6" customHeight="1" x14ac:dyDescent="0.3"/>
    <row r="1852" ht="48" customHeight="1" x14ac:dyDescent="0.3"/>
    <row r="1853" ht="21.75" customHeight="1" x14ac:dyDescent="0.3"/>
    <row r="1854" ht="21.75" customHeight="1" x14ac:dyDescent="0.3"/>
    <row r="1855" ht="21.75" customHeight="1" x14ac:dyDescent="0.3"/>
    <row r="1856" ht="21.75" customHeight="1" x14ac:dyDescent="0.3"/>
    <row r="1857" ht="21.75" customHeight="1" x14ac:dyDescent="0.3"/>
    <row r="1858" ht="6" customHeight="1" x14ac:dyDescent="0.3"/>
    <row r="1859" ht="48" customHeight="1" x14ac:dyDescent="0.3"/>
    <row r="1860" ht="21.75" customHeight="1" x14ac:dyDescent="0.3"/>
    <row r="1861" ht="21.75" customHeight="1" x14ac:dyDescent="0.3"/>
    <row r="1862" ht="21.75" customHeight="1" x14ac:dyDescent="0.3"/>
    <row r="1863" ht="21.75" customHeight="1" x14ac:dyDescent="0.3"/>
    <row r="1864" ht="21.75" customHeight="1" x14ac:dyDescent="0.3"/>
    <row r="1865" ht="6" customHeight="1" x14ac:dyDescent="0.3"/>
    <row r="1866" ht="48" customHeight="1" x14ac:dyDescent="0.3"/>
    <row r="1867" ht="21.75" customHeight="1" x14ac:dyDescent="0.3"/>
    <row r="1868" ht="21.75" customHeight="1" x14ac:dyDescent="0.3"/>
    <row r="1869" ht="21.75" customHeight="1" x14ac:dyDescent="0.3"/>
    <row r="1870" ht="21.75" customHeight="1" x14ac:dyDescent="0.3"/>
    <row r="1871" ht="21.75" customHeight="1" x14ac:dyDescent="0.3"/>
    <row r="1873" ht="30" customHeight="1" x14ac:dyDescent="0.3"/>
  </sheetData>
  <mergeCells count="1">
    <mergeCell ref="B2:H2"/>
  </mergeCells>
  <hyperlinks>
    <hyperlink ref="B1" location="'Sommaire'!B2" display="← Retour au Sommaire" xr:uid="{00000000-0004-0000-0200-000000000000}"/>
    <hyperlink ref="C6" r:id="rId1" xr:uid="{00000000-0004-0000-0200-00004B000000}"/>
    <hyperlink ref="C7" r:id="rId2" xr:uid="{00000000-0004-0000-0200-00004C000000}"/>
    <hyperlink ref="C8" r:id="rId3" xr:uid="{00000000-0004-0000-0200-00004D000000}"/>
    <hyperlink ref="C9" r:id="rId4" xr:uid="{00000000-0004-0000-0200-00004E000000}"/>
    <hyperlink ref="C13" r:id="rId5" xr:uid="{00000000-0004-0000-0200-00004F000000}"/>
    <hyperlink ref="C14" r:id="rId6" xr:uid="{00000000-0004-0000-0200-000050000000}"/>
    <hyperlink ref="C15" r:id="rId7" xr:uid="{00000000-0004-0000-0200-000051000000}"/>
    <hyperlink ref="C24" r:id="rId8" xr:uid="{00000000-0004-0000-0200-000052000000}"/>
    <hyperlink ref="C25" r:id="rId9" xr:uid="{00000000-0004-0000-0200-000053000000}"/>
    <hyperlink ref="C26" r:id="rId10" xr:uid="{00000000-0004-0000-0200-000054000000}"/>
    <hyperlink ref="D26" r:id="rId11" xr:uid="{00000000-0004-0000-0200-000055000000}"/>
    <hyperlink ref="C27" r:id="rId12" xr:uid="{00000000-0004-0000-0200-000056000000}"/>
    <hyperlink ref="C28" r:id="rId13" xr:uid="{00000000-0004-0000-0200-000057000000}"/>
    <hyperlink ref="C29" r:id="rId14" xr:uid="{00000000-0004-0000-0200-000058000000}"/>
    <hyperlink ref="C30" r:id="rId15" xr:uid="{00000000-0004-0000-0200-000059000000}"/>
    <hyperlink ref="C32" r:id="rId16" xr:uid="{00000000-0004-0000-0200-00005A000000}"/>
    <hyperlink ref="C33" r:id="rId17" xr:uid="{00000000-0004-0000-0200-00005B000000}"/>
    <hyperlink ref="C34" r:id="rId18" xr:uid="{00000000-0004-0000-0200-00005C000000}"/>
    <hyperlink ref="C35" r:id="rId19" tooltip="Conservateur des espaces naturels" xr:uid="{00000000-0004-0000-0200-00005D000000}"/>
    <hyperlink ref="C36" r:id="rId20" xr:uid="{00000000-0004-0000-0200-00005E000000}"/>
    <hyperlink ref="C37" r:id="rId21" xr:uid="{00000000-0004-0000-0200-00005F000000}"/>
    <hyperlink ref="C38" r:id="rId22" xr:uid="{00000000-0004-0000-0200-000060000000}"/>
    <hyperlink ref="C39" r:id="rId23" xr:uid="{00000000-0004-0000-0200-000061000000}"/>
    <hyperlink ref="C40" r:id="rId24" xr:uid="{00000000-0004-0000-0200-000062000000}"/>
    <hyperlink ref="C41" r:id="rId25" tooltip="Clémentine Fritsch, chercheuse en écotoxicologie | Talents CNRS" xr:uid="{00000000-0004-0000-0200-000063000000}"/>
    <hyperlink ref="C42" r:id="rId26" tooltip="Charlotte Morbu, technicienne environnement biodiversité | Reconversion" xr:uid="{00000000-0004-0000-0200-000064000000}"/>
    <hyperlink ref="C43" r:id="rId27" tooltip="Garde d'espace naturel" xr:uid="{00000000-0004-0000-0200-000065000000}"/>
    <hyperlink ref="C44" r:id="rId28" tooltip="Animateur nature, Théo" xr:uid="{00000000-0004-0000-0200-000066000000}"/>
    <hyperlink ref="C45" r:id="rId29" tooltip="Gardien de l'environnement" xr:uid="{00000000-0004-0000-0200-000067000000}"/>
    <hyperlink ref="C46" r:id="rId30" xr:uid="{00000000-0004-0000-0200-000068000000}"/>
    <hyperlink ref="C47" r:id="rId31" xr:uid="{00000000-0004-0000-0200-000069000000}"/>
    <hyperlink ref="C49" r:id="rId32" xr:uid="{00000000-0004-0000-0200-00006A000000}"/>
    <hyperlink ref="C50" r:id="rId33" xr:uid="{00000000-0004-0000-0200-00006B000000}"/>
    <hyperlink ref="C51" r:id="rId34" xr:uid="{00000000-0004-0000-0200-00006C000000}"/>
    <hyperlink ref="C55" r:id="rId35" xr:uid="{00000000-0004-0000-0200-00006D000000}"/>
    <hyperlink ref="C56" r:id="rId36" xr:uid="{00000000-0004-0000-0200-00006E000000}"/>
    <hyperlink ref="C57" r:id="rId37" xr:uid="{00000000-0004-0000-0200-00006F000000}"/>
    <hyperlink ref="C58" r:id="rId38" xr:uid="{00000000-0004-0000-0200-000070000000}"/>
    <hyperlink ref="C59" r:id="rId39" xr:uid="{00000000-0004-0000-0200-000071000000}"/>
    <hyperlink ref="C60" r:id="rId40" tooltip="Chercheur en bio-informatique | Onisep TV" xr:uid="{00000000-0004-0000-0200-000072000000}"/>
    <hyperlink ref="C61" r:id="rId41" xr:uid="{00000000-0004-0000-0200-000073000000}"/>
    <hyperlink ref="C62" r:id="rId42" xr:uid="{00000000-0004-0000-0200-000074000000}"/>
    <hyperlink ref="C63" r:id="rId43" xr:uid="{00000000-0004-0000-0200-000075000000}"/>
    <hyperlink ref="C64" r:id="rId44" xr:uid="{00000000-0004-0000-0200-000076000000}"/>
    <hyperlink ref="C68" r:id="rId45" xr:uid="{00000000-0004-0000-0200-000077000000}"/>
    <hyperlink ref="C69" r:id="rId46" xr:uid="{00000000-0004-0000-0200-000078000000}"/>
    <hyperlink ref="C70" r:id="rId47" xr:uid="{00000000-0004-0000-0200-000079000000}"/>
    <hyperlink ref="C71" r:id="rId48" xr:uid="{00000000-0004-0000-0200-00007A000000}"/>
    <hyperlink ref="C79" r:id="rId49" xr:uid="{00000000-0004-0000-0200-00007B000000}"/>
    <hyperlink ref="C80" r:id="rId50" xr:uid="{00000000-0004-0000-0200-00007C000000}"/>
    <hyperlink ref="C81" r:id="rId51" tooltip="Amélia, Ingénieure en biologie cellulaire chez Lattice Medical | Interview" xr:uid="{00000000-0004-0000-0200-00007D000000}"/>
    <hyperlink ref="C82" r:id="rId52" xr:uid="{00000000-0004-0000-0200-00007E000000}"/>
    <hyperlink ref="C94" r:id="rId53" xr:uid="{00000000-0004-0000-0200-00007F000000}"/>
    <hyperlink ref="D94" r:id="rId54" xr:uid="{00000000-0004-0000-0200-000080000000}"/>
    <hyperlink ref="C95" r:id="rId55" xr:uid="{00000000-0004-0000-0200-000081000000}"/>
    <hyperlink ref="C96" r:id="rId56" xr:uid="{00000000-0004-0000-0200-000082000000}"/>
    <hyperlink ref="C97" r:id="rId57" xr:uid="{00000000-0004-0000-0200-000083000000}"/>
    <hyperlink ref="C98" r:id="rId58" xr:uid="{00000000-0004-0000-0200-000084000000}"/>
    <hyperlink ref="C99" r:id="rId59" xr:uid="{00000000-0004-0000-0200-000085000000}"/>
    <hyperlink ref="C109" r:id="rId60" xr:uid="{00000000-0004-0000-0200-000086000000}"/>
    <hyperlink ref="C110" r:id="rId61" tooltip="Botaniste | Onisep TV" xr:uid="{00000000-0004-0000-0200-000087000000}"/>
    <hyperlink ref="C111" r:id="rId62" tooltip="Ingénieure d'étude au CNRS" xr:uid="{00000000-0004-0000-0200-000088000000}"/>
    <hyperlink ref="C113" r:id="rId63" tooltip="Technicien de laboratoire en biotechnologies | Onisep TV" xr:uid="{00000000-0004-0000-0200-000089000000}"/>
    <hyperlink ref="C114" r:id="rId64" xr:uid="{00000000-0004-0000-0200-00008A000000}"/>
    <hyperlink ref="C119" r:id="rId65" xr:uid="{00000000-0004-0000-0200-00008B000000}"/>
    <hyperlink ref="C120" r:id="rId66" xr:uid="{00000000-0004-0000-0200-00008C000000}"/>
    <hyperlink ref="C121" r:id="rId67" xr:uid="{00000000-0004-0000-0200-00008D000000}"/>
    <hyperlink ref="C122" r:id="rId68" xr:uid="{00000000-0004-0000-0200-00008E000000}"/>
    <hyperlink ref="C123" r:id="rId69" xr:uid="{00000000-0004-0000-0200-00008F000000}"/>
    <hyperlink ref="C124" r:id="rId70" xr:uid="{00000000-0004-0000-0200-000090000000}"/>
    <hyperlink ref="C125" r:id="rId71" tooltip="Les pros de la bio : ingénieure en biotechnologie | Onisep TV" xr:uid="{00000000-0004-0000-0200-000091000000}"/>
    <hyperlink ref="C126" r:id="rId72" tooltip="Les pros de la bio : le responsable commercial | Onisep TV" xr:uid="{00000000-0004-0000-0200-000092000000}"/>
    <hyperlink ref="C127" r:id="rId73" tooltip="Technicien de laboratoire en biotechnologies | Onisep TV" xr:uid="{00000000-0004-0000-0200-000093000000}"/>
    <hyperlink ref="C128" r:id="rId74" tooltip="Interview de Mégann - Ingénieure biomatériaux chez Lattice" xr:uid="{00000000-0004-0000-0200-000094000000}"/>
    <hyperlink ref="C129" r:id="rId75" tooltip="Jérôme, Responsable qualité chez Lattice Medical | Interview" xr:uid="{00000000-0004-0000-0200-000095000000}"/>
    <hyperlink ref="C130" r:id="rId76" tooltip="Damien, Ingénieur R&amp;D chez Lattice Medical | Interview" xr:uid="{00000000-0004-0000-0200-000096000000}"/>
    <hyperlink ref="C131" r:id="rId77" tooltip="Shengheng, Ingénieur Biomédical chez Lattice Medical | Interview" xr:uid="{00000000-0004-0000-0200-000097000000}"/>
    <hyperlink ref="C132" r:id="rId78" tooltip="Jaime, Responsable R&amp;D chez Lattice Medical | Interview" xr:uid="{00000000-0004-0000-0200-000098000000}"/>
    <hyperlink ref="C133" r:id="rId79" tooltip="Chloé, Responsable industrialisation et méthodes chez Lattice Medical | Interview" xr:uid="{00000000-0004-0000-0200-000099000000}"/>
    <hyperlink ref="C134" r:id="rId80" tooltip="Amélia, Ingénieure en biologie cellulaire chez Lattice Medical | Interview" xr:uid="{00000000-0004-0000-0200-00009A000000}"/>
    <hyperlink ref="C135" r:id="rId81" tooltip="Lou, Ingénieure industrialisation et méthodes chez Lattice Medical | Interview" xr:uid="{00000000-0004-0000-0200-00009B000000}"/>
    <hyperlink ref="C136" r:id="rId82" tooltip="Josué, Responsable des Affaires Réglementaires chez Lattice Medical | Interview" xr:uid="{00000000-0004-0000-0200-00009C000000}"/>
    <hyperlink ref="C137" r:id="rId83" tooltip="Christophe, Ingénieur de Production chez Lattice Medical | Interview" xr:uid="{00000000-0004-0000-0200-00009D000000}"/>
    <hyperlink ref="C138" r:id="rId84" tooltip="Kévin, Ingénieur R&amp;D biomécanique chez Lattice Medical | Interview" xr:uid="{00000000-0004-0000-0200-00009E000000}"/>
    <hyperlink ref="C139" r:id="rId85" tooltip="Solemne, Chargée de Marketing chez Lattice Medical | Interview" xr:uid="{00000000-0004-0000-0200-00009F000000}"/>
    <hyperlink ref="C140" r:id="rId86" tooltip="Louise Griveau, docteure en biomatériaux" xr:uid="{00000000-0004-0000-0200-0000A0000000}"/>
    <hyperlink ref="C150" r:id="rId87" xr:uid="{00000000-0004-0000-0200-0000A1000000}"/>
    <hyperlink ref="C151" r:id="rId88" xr:uid="{00000000-0004-0000-0200-0000A2000000}"/>
    <hyperlink ref="C152" r:id="rId89" tooltip="Solemne, Chargée de Marketing chez Lattice Medical | Interview" xr:uid="{00000000-0004-0000-0200-0000A3000000}"/>
    <hyperlink ref="C154" r:id="rId90" xr:uid="{00000000-0004-0000-0200-0000A4000000}"/>
    <hyperlink ref="C155" r:id="rId91" xr:uid="{00000000-0004-0000-0200-0000A5000000}"/>
    <hyperlink ref="C158" r:id="rId92" xr:uid="{00000000-0004-0000-0200-0000A6000000}"/>
    <hyperlink ref="C159" r:id="rId93" xr:uid="{00000000-0004-0000-0200-0000A7000000}"/>
    <hyperlink ref="C160" r:id="rId94" xr:uid="{00000000-0004-0000-0200-0000A8000000}"/>
    <hyperlink ref="C161" r:id="rId95" xr:uid="{00000000-0004-0000-0200-0000A9000000}"/>
    <hyperlink ref="C162" r:id="rId96" xr:uid="{00000000-0004-0000-0200-0000AA000000}"/>
    <hyperlink ref="C163" r:id="rId97" tooltip="Les pros de la bio : technicienne de laboratoire | Onisep TV" xr:uid="{00000000-0004-0000-0200-0000AB000000}"/>
    <hyperlink ref="C164" r:id="rId98" xr:uid="{00000000-0004-0000-0200-0000AC000000}"/>
    <hyperlink ref="C194" r:id="rId99" xr:uid="{00000000-0004-0000-0200-0000AD000000}"/>
    <hyperlink ref="C197" r:id="rId100" xr:uid="{00000000-0004-0000-0200-0000AE000000}"/>
    <hyperlink ref="C198" r:id="rId101" xr:uid="{00000000-0004-0000-0200-0000AF000000}"/>
    <hyperlink ref="C199" r:id="rId102" xr:uid="{00000000-0004-0000-0200-0000B0000000}"/>
    <hyperlink ref="C200" r:id="rId103" xr:uid="{00000000-0004-0000-0200-0000B1000000}"/>
    <hyperlink ref="C201" r:id="rId104" xr:uid="{00000000-0004-0000-0200-0000B2000000}"/>
    <hyperlink ref="C202" r:id="rId105" xr:uid="{00000000-0004-0000-0200-0000B3000000}"/>
    <hyperlink ref="C203" r:id="rId106" xr:uid="{00000000-0004-0000-0200-0000B4000000}"/>
    <hyperlink ref="C204" r:id="rId107" tooltip="Géomaticienne - Dans mon job | Onisep TV" xr:uid="{00000000-0004-0000-0200-0000B5000000}"/>
    <hyperlink ref="C205" r:id="rId108" xr:uid="{00000000-0004-0000-0200-0000B6000000}"/>
    <hyperlink ref="D205" r:id="rId109" xr:uid="{00000000-0004-0000-0200-0000B7000000}"/>
    <hyperlink ref="C206" r:id="rId110" xr:uid="{00000000-0004-0000-0200-0000B8000000}"/>
    <hyperlink ref="C207" r:id="rId111" xr:uid="{00000000-0004-0000-0200-0000B9000000}"/>
    <hyperlink ref="C208" r:id="rId112" xr:uid="{00000000-0004-0000-0200-0000BA000000}"/>
    <hyperlink ref="C209" r:id="rId113" xr:uid="{00000000-0004-0000-0200-0000BB000000}"/>
    <hyperlink ref="C214" r:id="rId114" xr:uid="{00000000-0004-0000-0200-0000BC000000}"/>
    <hyperlink ref="D214" r:id="rId115" xr:uid="{00000000-0004-0000-0200-0000BD000000}"/>
    <hyperlink ref="C215" r:id="rId116" xr:uid="{00000000-0004-0000-0200-0000BE000000}"/>
    <hyperlink ref="C216" r:id="rId117" xr:uid="{00000000-0004-0000-0200-0000BF000000}"/>
    <hyperlink ref="C217" r:id="rId118" xr:uid="{00000000-0004-0000-0200-0000C0000000}"/>
    <hyperlink ref="C218" r:id="rId119" tooltip="Josué, Responsable des Affaires Réglementaires chez Lattice Medical | Interview" xr:uid="{00000000-0004-0000-0200-0000C1000000}"/>
    <hyperlink ref="C219" r:id="rId120" xr:uid="{00000000-0004-0000-0200-0000C2000000}"/>
    <hyperlink ref="C220" r:id="rId121" xr:uid="{00000000-0004-0000-0200-0000C3000000}"/>
    <hyperlink ref="C221" r:id="rId122" xr:uid="{00000000-0004-0000-0200-0000C4000000}"/>
    <hyperlink ref="C228" r:id="rId123" xr:uid="{00000000-0004-0000-0200-0000C5000000}"/>
    <hyperlink ref="D228" r:id="rId124" xr:uid="{00000000-0004-0000-0200-0000C6000000}"/>
    <hyperlink ref="C229" r:id="rId125" xr:uid="{00000000-0004-0000-0200-0000C7000000}"/>
    <hyperlink ref="C230" r:id="rId126" xr:uid="{00000000-0004-0000-0200-0000C8000000}"/>
    <hyperlink ref="C231" r:id="rId127" tooltip="Interview Nil Rahola - Ingénieur d'Étude en Entomologie Médicale" xr:uid="{00000000-0004-0000-0200-0000C9000000}"/>
    <hyperlink ref="C232" r:id="rId128" tooltip="Interview Louis Clément Gouagna - Chargé de Recherche" xr:uid="{00000000-0004-0000-0200-0000CA000000}"/>
    <hyperlink ref="C233" r:id="rId129" xr:uid="{00000000-0004-0000-0200-0000CB000000}"/>
    <hyperlink ref="C241" r:id="rId130" xr:uid="{00000000-0004-0000-0200-0000CC000000}"/>
    <hyperlink ref="C242" r:id="rId131" xr:uid="{00000000-0004-0000-0200-0000CD000000}"/>
    <hyperlink ref="C243" r:id="rId132" xr:uid="{00000000-0004-0000-0200-0000CE000000}"/>
    <hyperlink ref="C244" r:id="rId133" xr:uid="{00000000-0004-0000-0200-0000CF000000}"/>
    <hyperlink ref="C245" r:id="rId134" xr:uid="{00000000-0004-0000-0200-0000D0000000}"/>
    <hyperlink ref="C246" r:id="rId135" xr:uid="{00000000-0004-0000-0200-0000D1000000}"/>
    <hyperlink ref="D246" r:id="rId136" xr:uid="{00000000-0004-0000-0200-0000D2000000}"/>
    <hyperlink ref="C247" r:id="rId137" xr:uid="{00000000-0004-0000-0200-0000D3000000}"/>
    <hyperlink ref="C248" r:id="rId138" xr:uid="{00000000-0004-0000-0200-0000D4000000}"/>
    <hyperlink ref="C251" r:id="rId139" xr:uid="{00000000-0004-0000-0200-0000D5000000}"/>
    <hyperlink ref="C259" r:id="rId140" xr:uid="{00000000-0004-0000-0200-0000D6000000}"/>
    <hyperlink ref="D259" r:id="rId141" xr:uid="{00000000-0004-0000-0200-0000D7000000}"/>
    <hyperlink ref="C260" r:id="rId142" xr:uid="{00000000-0004-0000-0200-0000D8000000}"/>
    <hyperlink ref="C261" r:id="rId143" xr:uid="{00000000-0004-0000-0200-0000D9000000}"/>
    <hyperlink ref="C265" r:id="rId144" xr:uid="{00000000-0004-0000-0200-0000DA000000}"/>
    <hyperlink ref="C266" r:id="rId145" xr:uid="{00000000-0004-0000-0200-0000DB000000}"/>
    <hyperlink ref="C267" r:id="rId146" xr:uid="{00000000-0004-0000-0200-0000DC000000}"/>
    <hyperlink ref="C270" r:id="rId147" xr:uid="{00000000-0004-0000-0200-000008010000}"/>
    <hyperlink ref="C271" r:id="rId148" tooltip="Responsable R&amp;D en génie végétal | Onisep TV" xr:uid="{00000000-0004-0000-0200-000009010000}"/>
    <hyperlink ref="C272" r:id="rId149" xr:uid="{00000000-0004-0000-0200-00000A010000}"/>
    <hyperlink ref="C273" r:id="rId150" xr:uid="{00000000-0004-0000-0200-00000B010000}"/>
    <hyperlink ref="C274" r:id="rId151" xr:uid="{00000000-0004-0000-0200-00000C010000}"/>
    <hyperlink ref="C275" r:id="rId152" xr:uid="{00000000-0004-0000-0200-00000D010000}"/>
    <hyperlink ref="C276" r:id="rId153" xr:uid="{00000000-0004-0000-0200-00000E010000}"/>
    <hyperlink ref="C277" r:id="rId154" xr:uid="{00000000-0004-0000-0200-00000F010000}"/>
    <hyperlink ref="C278" r:id="rId155" xr:uid="{00000000-0004-0000-0200-000010010000}"/>
    <hyperlink ref="C279" r:id="rId156" xr:uid="{00000000-0004-0000-0200-000011010000}"/>
    <hyperlink ref="C280" r:id="rId157" xr:uid="{00000000-0004-0000-0200-000012010000}"/>
    <hyperlink ref="C281" r:id="rId158" xr:uid="{00000000-0004-0000-0200-000013010000}"/>
    <hyperlink ref="C282" r:id="rId159" xr:uid="{00000000-0004-0000-0200-000014010000}"/>
    <hyperlink ref="C283" r:id="rId160" xr:uid="{00000000-0004-0000-0200-000015010000}"/>
    <hyperlink ref="C291" r:id="rId161" xr:uid="{00000000-0004-0000-0200-000016010000}"/>
    <hyperlink ref="C292" r:id="rId162" xr:uid="{00000000-0004-0000-0200-000017010000}"/>
    <hyperlink ref="C294" r:id="rId163" tooltip="Ingénieure chercheuse en thermohydraulique" xr:uid="{00000000-0004-0000-0200-000018010000}"/>
    <hyperlink ref="C295" r:id="rId164" xr:uid="{00000000-0004-0000-0200-000019010000}"/>
    <hyperlink ref="D295" r:id="rId165" xr:uid="{00000000-0004-0000-0200-00001A010000}"/>
    <hyperlink ref="C297" r:id="rId166" xr:uid="{00000000-0004-0000-0200-00001B010000}"/>
    <hyperlink ref="C298" r:id="rId167" tooltip="Ingénieure d'études en climat urbain" xr:uid="{00000000-0004-0000-0200-00001C010000}"/>
    <hyperlink ref="C300" r:id="rId168" tooltip="Ingénieure d'étude au CNRS" xr:uid="{00000000-0004-0000-0200-00001D010000}"/>
    <hyperlink ref="C301" r:id="rId169" tooltip="Chercheuse en climatologie (Valérie Masson-Delmotte)" xr:uid="{00000000-0004-0000-0200-00001E010000}"/>
    <hyperlink ref="C302" r:id="rId170" tooltip="Femmes et géosciences : témoignage d'Elisabeth Vergès" xr:uid="{00000000-0004-0000-0200-00001F010000}"/>
    <hyperlink ref="C303" r:id="rId171" tooltip="Femmes et géosciences : témoignage de Cécile Robin" xr:uid="{00000000-0004-0000-0200-000020010000}"/>
    <hyperlink ref="C304" r:id="rId172" tooltip="Femmes et géosciences : témoignage de Corinne Leyval" xr:uid="{00000000-0004-0000-0200-000021010000}"/>
    <hyperlink ref="C305" r:id="rId173" tooltip="Femmes et géosciences : témoignage de Judith Sausse" xr:uid="{00000000-0004-0000-0200-000022010000}"/>
    <hyperlink ref="C306" r:id="rId174" tooltip="Femmes et géosciences : témoignage de Manoelle Lepoutre" xr:uid="{00000000-0004-0000-0200-000023010000}"/>
    <hyperlink ref="C307" r:id="rId175" tooltip="The Profession of Geologist - Catherine Truffert" xr:uid="{00000000-0004-0000-0200-000024010000}"/>
    <hyperlink ref="C308" r:id="rId176" tooltip="Technicienne de recherche" xr:uid="{00000000-0004-0000-0200-000025010000}"/>
    <hyperlink ref="C316" r:id="rId177" xr:uid="{00000000-0004-0000-0200-000026010000}"/>
    <hyperlink ref="C317" r:id="rId178" xr:uid="{00000000-0004-0000-0200-000027010000}"/>
    <hyperlink ref="C321" r:id="rId179" xr:uid="{00000000-0004-0000-0200-000028010000}"/>
    <hyperlink ref="C322" r:id="rId180" xr:uid="{00000000-0004-0000-0200-000029010000}"/>
    <hyperlink ref="C323" r:id="rId181" xr:uid="{00000000-0004-0000-0200-00002A010000}"/>
    <hyperlink ref="D323" r:id="rId182" xr:uid="{00000000-0004-0000-0200-00002B010000}"/>
    <hyperlink ref="C324" r:id="rId183" xr:uid="{00000000-0004-0000-0200-00002C010000}"/>
    <hyperlink ref="C325" r:id="rId184" xr:uid="{00000000-0004-0000-0200-00002D010000}"/>
    <hyperlink ref="C327" r:id="rId185" xr:uid="{00000000-0004-0000-0200-00002E010000}"/>
    <hyperlink ref="C329" r:id="rId186" tooltip="Référent BIM (Thomas, BIM manager) | Onisep TV" xr:uid="{00000000-0004-0000-0200-00002F010000}"/>
    <hyperlink ref="C330" r:id="rId187" xr:uid="{00000000-0004-0000-0200-000030010000}"/>
    <hyperlink ref="C338" r:id="rId188" xr:uid="{00000000-0004-0000-0200-000031010000}"/>
    <hyperlink ref="C342" r:id="rId189" xr:uid="{00000000-0004-0000-0200-000032010000}"/>
    <hyperlink ref="C343" r:id="rId190" xr:uid="{00000000-0004-0000-0200-000033010000}"/>
    <hyperlink ref="C344" r:id="rId191" xr:uid="{00000000-0004-0000-0200-000034010000}"/>
    <hyperlink ref="C345" r:id="rId192" tooltip="Responsable d'exploitation de l'eau" xr:uid="{00000000-0004-0000-0200-000035010000}"/>
    <hyperlink ref="C346" r:id="rId193" tooltip="Responsable adjoint d'une station d'épuration" xr:uid="{00000000-0004-0000-0200-000036010000}"/>
    <hyperlink ref="C347" r:id="rId194" tooltip="Agent d'exploitation de l'eau" xr:uid="{00000000-0004-0000-0200-000037010000}"/>
    <hyperlink ref="C348" r:id="rId195" tooltip="Technicienne de recherche" xr:uid="{00000000-0004-0000-0200-000038010000}"/>
    <hyperlink ref="C351" r:id="rId196" xr:uid="{00000000-0004-0000-0200-000039010000}"/>
    <hyperlink ref="D351" r:id="rId197" tooltip="Prévisionniste météo" xr:uid="{00000000-0004-0000-0200-00003A010000}"/>
    <hyperlink ref="C352" r:id="rId198" xr:uid="{00000000-0004-0000-0200-00003B010000}"/>
    <hyperlink ref="C353" r:id="rId199" xr:uid="{00000000-0004-0000-0200-00003C010000}"/>
    <hyperlink ref="C354" r:id="rId200" xr:uid="{00000000-0004-0000-0200-00003D010000}"/>
    <hyperlink ref="C355" r:id="rId201" xr:uid="{00000000-0004-0000-0200-00003E010000}"/>
    <hyperlink ref="C356" r:id="rId202" tooltip="Météorologiste conseil en aéronautique" xr:uid="{00000000-0004-0000-0200-00003F010000}"/>
    <hyperlink ref="C357" r:id="rId203" tooltip="Ingénieure d'études en climat urbain" xr:uid="{00000000-0004-0000-0200-000040010000}"/>
    <hyperlink ref="C358" r:id="rId204" tooltip="Technicien chargé de maintenance, météo et climat" xr:uid="{00000000-0004-0000-0200-000041010000}"/>
    <hyperlink ref="C360" r:id="rId205" xr:uid="{00000000-0004-0000-0200-000042010000}"/>
    <hyperlink ref="C365" r:id="rId206" xr:uid="{00000000-0004-0000-0200-000043010000}"/>
    <hyperlink ref="C366" r:id="rId207" xr:uid="{00000000-0004-0000-0200-000044010000}"/>
    <hyperlink ref="C367" r:id="rId208" xr:uid="{00000000-0004-0000-0200-000045010000}"/>
    <hyperlink ref="C374" r:id="rId209" xr:uid="{00000000-0004-0000-0200-000046010000}"/>
    <hyperlink ref="C378" r:id="rId210" xr:uid="{00000000-0004-0000-0200-000047010000}"/>
    <hyperlink ref="C379" r:id="rId211" xr:uid="{00000000-0004-0000-0200-000048010000}"/>
    <hyperlink ref="C380" r:id="rId212" xr:uid="{00000000-0004-0000-0200-000049010000}"/>
    <hyperlink ref="C381" r:id="rId213" xr:uid="{00000000-0004-0000-0200-00004A010000}"/>
    <hyperlink ref="C382" r:id="rId214" xr:uid="{00000000-0004-0000-0200-00004B010000}"/>
    <hyperlink ref="C383" r:id="rId215" xr:uid="{00000000-0004-0000-0200-00004C010000}"/>
    <hyperlink ref="C384" r:id="rId216" xr:uid="{00000000-0004-0000-0200-00004D010000}"/>
    <hyperlink ref="C394" r:id="rId217" xr:uid="{00000000-0004-0000-0200-00004E010000}"/>
    <hyperlink ref="C395" r:id="rId218" xr:uid="{00000000-0004-0000-0200-00004F010000}"/>
    <hyperlink ref="C396" r:id="rId219" tooltip="Kevin Tallec, ingénieur écotoxicologie/environnement | Ouest-France" xr:uid="{00000000-0004-0000-0200-000050010000}"/>
    <hyperlink ref="C397" r:id="rId220" xr:uid="{00000000-0004-0000-0200-000051010000}"/>
    <hyperlink ref="C398" r:id="rId221" xr:uid="{00000000-0004-0000-0200-000052010000}"/>
    <hyperlink ref="C399" r:id="rId222" xr:uid="{00000000-0004-0000-0200-000053010000}"/>
    <hyperlink ref="C400" r:id="rId223" xr:uid="{00000000-0004-0000-0200-000054010000}"/>
    <hyperlink ref="C401" r:id="rId224" xr:uid="{00000000-0004-0000-0200-000055010000}"/>
    <hyperlink ref="C402" r:id="rId225" xr:uid="{00000000-0004-0000-0200-000056010000}"/>
    <hyperlink ref="C403" r:id="rId226" xr:uid="{00000000-0004-0000-0200-000057010000}"/>
    <hyperlink ref="C404" r:id="rId227" xr:uid="{00000000-0004-0000-0200-000058010000}"/>
    <hyperlink ref="C405" r:id="rId228" xr:uid="{00000000-0004-0000-0200-000059010000}"/>
    <hyperlink ref="C406" r:id="rId229" xr:uid="{00000000-0004-0000-0200-00005A010000}"/>
    <hyperlink ref="C407" r:id="rId230" xr:uid="{00000000-0004-0000-0200-00005B010000}"/>
    <hyperlink ref="C408" r:id="rId231" xr:uid="{00000000-0004-0000-0200-00005C010000}"/>
    <hyperlink ref="C409" r:id="rId232" xr:uid="{00000000-0004-0000-0200-00005D010000}"/>
    <hyperlink ref="C410" r:id="rId233" xr:uid="{00000000-0004-0000-0200-00005E010000}"/>
    <hyperlink ref="C411" r:id="rId234" xr:uid="{00000000-0004-0000-0200-00005F010000}"/>
    <hyperlink ref="C412" r:id="rId235" xr:uid="{00000000-0004-0000-0200-000060010000}"/>
    <hyperlink ref="C413" r:id="rId236" xr:uid="{00000000-0004-0000-0200-000061010000}"/>
    <hyperlink ref="C414" r:id="rId237" xr:uid="{00000000-0004-0000-0200-000062010000}"/>
    <hyperlink ref="C416" r:id="rId238" tooltip="Portrait d'une chercheuse/conseillère scientifique au Biodôme de Montréal" xr:uid="{00000000-0004-0000-0200-000063010000}"/>
    <hyperlink ref="C417" r:id="rId239" tooltip="Chargée d'études en océanographie" xr:uid="{00000000-0004-0000-0200-000064010000}"/>
    <hyperlink ref="C418" r:id="rId240" xr:uid="{00000000-0004-0000-0200-000065010000}"/>
    <hyperlink ref="C419" r:id="rId241" xr:uid="{00000000-0004-0000-0200-000066010000}"/>
    <hyperlink ref="C420" r:id="rId242" xr:uid="{00000000-0004-0000-0200-000067010000}"/>
    <hyperlink ref="C421" r:id="rId243" xr:uid="{00000000-0004-0000-0200-000068010000}"/>
    <hyperlink ref="C422" r:id="rId244" xr:uid="{00000000-0004-0000-0200-000069010000}"/>
    <hyperlink ref="C423" r:id="rId245" xr:uid="{00000000-0004-0000-0200-00006A010000}"/>
    <hyperlink ref="C428" r:id="rId246" xr:uid="{00000000-0004-0000-0200-00006B010000}"/>
    <hyperlink ref="C429" r:id="rId247" xr:uid="{00000000-0004-0000-0200-00006C010000}"/>
    <hyperlink ref="C430" r:id="rId248" xr:uid="{00000000-0004-0000-0200-00006D010000}"/>
    <hyperlink ref="C431" r:id="rId249" xr:uid="{00000000-0004-0000-0200-00006E010000}"/>
    <hyperlink ref="C432" r:id="rId250" xr:uid="{00000000-0004-0000-0200-00006F010000}"/>
    <hyperlink ref="C435" r:id="rId251" xr:uid="{00000000-0004-0000-0200-000070010000}"/>
    <hyperlink ref="C436" r:id="rId252" xr:uid="{00000000-0004-0000-0200-000071010000}"/>
    <hyperlink ref="C437" r:id="rId253" xr:uid="{00000000-0004-0000-0200-000072010000}"/>
    <hyperlink ref="C438" r:id="rId254" xr:uid="{00000000-0004-0000-0200-000073010000}"/>
    <hyperlink ref="C439" r:id="rId255" xr:uid="{00000000-0004-0000-0200-000074010000}"/>
    <hyperlink ref="C443" r:id="rId256" xr:uid="{00000000-0004-0000-0200-000075010000}"/>
    <hyperlink ref="C444" r:id="rId257" xr:uid="{00000000-0004-0000-0200-000076010000}"/>
    <hyperlink ref="C445" r:id="rId258" xr:uid="{00000000-0004-0000-0200-000077010000}"/>
    <hyperlink ref="C447" r:id="rId259" xr:uid="{00000000-0004-0000-0200-000078010000}"/>
    <hyperlink ref="C448" r:id="rId260" xr:uid="{00000000-0004-0000-0200-000079010000}"/>
    <hyperlink ref="D448" r:id="rId261" xr:uid="{00000000-0004-0000-0200-00007A010000}"/>
    <hyperlink ref="C449" r:id="rId262" xr:uid="{00000000-0004-0000-0200-00007B010000}"/>
    <hyperlink ref="C451" r:id="rId263" xr:uid="{00000000-0004-0000-0200-00007C010000}"/>
    <hyperlink ref="C452" r:id="rId264" xr:uid="{00000000-0004-0000-0200-00007D010000}"/>
    <hyperlink ref="C453" r:id="rId265" xr:uid="{00000000-0004-0000-0200-00007E010000}"/>
    <hyperlink ref="C454" r:id="rId266" xr:uid="{00000000-0004-0000-0200-00007F010000}"/>
    <hyperlink ref="C455" r:id="rId267" xr:uid="{00000000-0004-0000-0200-000080010000}"/>
    <hyperlink ref="D455" r:id="rId268" xr:uid="{00000000-0004-0000-0200-000081010000}"/>
    <hyperlink ref="C456" r:id="rId269" xr:uid="{00000000-0004-0000-0200-000082010000}"/>
    <hyperlink ref="C457" r:id="rId270" xr:uid="{00000000-0004-0000-0200-000083010000}"/>
    <hyperlink ref="C458" r:id="rId271" xr:uid="{00000000-0004-0000-0200-000084010000}"/>
    <hyperlink ref="C459" r:id="rId272" tooltip="Technicien qualité dans l'industrie pharmaceutique | Onisep TV" xr:uid="{00000000-0004-0000-0200-000085010000}"/>
    <hyperlink ref="C460" r:id="rId273" tooltip="Technicien de maintenance dans l'industrie pharmaceutique | Onisep TV" xr:uid="{00000000-0004-0000-0200-000086010000}"/>
    <hyperlink ref="C461" r:id="rId274" xr:uid="{00000000-0004-0000-0200-000087010000}"/>
    <hyperlink ref="C467" r:id="rId275" xr:uid="{00000000-0004-0000-0200-000088010000}"/>
    <hyperlink ref="C468" r:id="rId276" xr:uid="{00000000-0004-0000-0200-000089010000}"/>
    <hyperlink ref="C469" r:id="rId277" xr:uid="{00000000-0004-0000-0200-00008A010000}"/>
    <hyperlink ref="C476" r:id="rId278" xr:uid="{00000000-0004-0000-0200-00008B010000}"/>
    <hyperlink ref="C477" r:id="rId279" xr:uid="{00000000-0004-0000-0200-00008C010000}"/>
    <hyperlink ref="C478" r:id="rId280" xr:uid="{00000000-0004-0000-0200-00008D010000}"/>
    <hyperlink ref="C480" r:id="rId281" xr:uid="{00000000-0004-0000-0200-00008E010000}"/>
    <hyperlink ref="C481" r:id="rId282" xr:uid="{00000000-0004-0000-0200-00008F010000}"/>
    <hyperlink ref="C482" r:id="rId283" xr:uid="{00000000-0004-0000-0200-000090010000}"/>
    <hyperlink ref="C483" r:id="rId284" tooltip="Garde d'espace naturel" xr:uid="{00000000-0004-0000-0200-000091010000}"/>
    <hyperlink ref="C484" r:id="rId285" tooltip="Gardien de l'environnement" xr:uid="{00000000-0004-0000-0200-000092010000}"/>
    <hyperlink ref="C485" r:id="rId286" xr:uid="{00000000-0004-0000-0200-000093010000}"/>
    <hyperlink ref="C488" r:id="rId287" xr:uid="{00000000-0004-0000-0200-000094010000}"/>
    <hyperlink ref="C489" r:id="rId288" xr:uid="{00000000-0004-0000-0200-000095010000}"/>
    <hyperlink ref="C490" r:id="rId289" xr:uid="{00000000-0004-0000-0200-000096010000}"/>
    <hyperlink ref="C491" r:id="rId290" xr:uid="{00000000-0004-0000-0200-000097010000}"/>
    <hyperlink ref="C492" r:id="rId291" xr:uid="{00000000-0004-0000-0200-000098010000}"/>
    <hyperlink ref="C493" r:id="rId292" xr:uid="{00000000-0004-0000-0200-000099010000}"/>
    <hyperlink ref="C494" r:id="rId293" xr:uid="{00000000-0004-0000-0200-00009A010000}"/>
    <hyperlink ref="C495" r:id="rId294" xr:uid="{00000000-0004-0000-0200-00009B010000}"/>
    <hyperlink ref="C496" r:id="rId295" xr:uid="{00000000-0004-0000-0200-00009C010000}"/>
    <hyperlink ref="C500" r:id="rId296" xr:uid="{00000000-0004-0000-0200-00009D010000}"/>
    <hyperlink ref="C501" r:id="rId297" xr:uid="{00000000-0004-0000-0200-00009E010000}"/>
    <hyperlink ref="C502" r:id="rId298" xr:uid="{00000000-0004-0000-0200-00009F010000}"/>
    <hyperlink ref="C503" r:id="rId299" tooltip="Le métier d'ingénieure environnement - Hélène Delmas, Eiffage" xr:uid="{00000000-0004-0000-0200-0000A0010000}"/>
    <hyperlink ref="C504" r:id="rId300" tooltip="Chargée de la RSE d'un opéra | Onisep TV" xr:uid="{00000000-0004-0000-0200-0000A1010000}"/>
    <hyperlink ref="C505" r:id="rId301" tooltip="Responsable Qualité, Sécurité, Environnement | Onisep TV" xr:uid="{00000000-0004-0000-0200-0000A2010000}"/>
    <hyperlink ref="C506" r:id="rId302" tooltip="Femmes et géosciences : témoignage de Manoelle Lepoutre" xr:uid="{00000000-0004-0000-0200-0000A3010000}"/>
    <hyperlink ref="C507" r:id="rId303" xr:uid="{00000000-0004-0000-0200-0000A4010000}"/>
    <hyperlink ref="C508" r:id="rId304" xr:uid="{00000000-0004-0000-0200-0000A5010000}"/>
    <hyperlink ref="C509" r:id="rId305" xr:uid="{00000000-0004-0000-0200-0000A6010000}"/>
    <hyperlink ref="C510" r:id="rId306" xr:uid="{00000000-0004-0000-0200-0000A7010000}"/>
    <hyperlink ref="C514" r:id="rId307" xr:uid="{00000000-0004-0000-0200-0000E4010000}"/>
    <hyperlink ref="C515" r:id="rId308" xr:uid="{00000000-0004-0000-0200-0000E5010000}"/>
    <hyperlink ref="C516" r:id="rId309" xr:uid="{00000000-0004-0000-0200-0000E6010000}"/>
    <hyperlink ref="C517" r:id="rId310" xr:uid="{00000000-0004-0000-0200-0000E7010000}"/>
    <hyperlink ref="C518" r:id="rId311" xr:uid="{00000000-0004-0000-0200-0000E8010000}"/>
    <hyperlink ref="C519" r:id="rId312" xr:uid="{00000000-0004-0000-0200-0000E9010000}"/>
    <hyperlink ref="C520" r:id="rId313" xr:uid="{00000000-0004-0000-0200-0000EA010000}"/>
    <hyperlink ref="C521" r:id="rId314" xr:uid="{00000000-0004-0000-0200-0000EB010000}"/>
    <hyperlink ref="C524" r:id="rId315" xr:uid="{00000000-0004-0000-0200-0000EC010000}"/>
    <hyperlink ref="C525" r:id="rId316" xr:uid="{00000000-0004-0000-0200-0000ED010000}"/>
    <hyperlink ref="C526" r:id="rId317" xr:uid="{00000000-0004-0000-0200-0000EE010000}"/>
    <hyperlink ref="C527" r:id="rId318" xr:uid="{00000000-0004-0000-0200-0000EF010000}"/>
    <hyperlink ref="D527" r:id="rId319" xr:uid="{00000000-0004-0000-0200-0000F0010000}"/>
    <hyperlink ref="C528" r:id="rId320" xr:uid="{00000000-0004-0000-0200-0000F1010000}"/>
    <hyperlink ref="C529" r:id="rId321" xr:uid="{00000000-0004-0000-0200-0000F2010000}"/>
    <hyperlink ref="C530" r:id="rId322" xr:uid="{00000000-0004-0000-0200-0000F3010000}"/>
    <hyperlink ref="C531" r:id="rId323" xr:uid="{00000000-0004-0000-0200-0000F4010000}"/>
    <hyperlink ref="C537" r:id="rId324" xr:uid="{00000000-0004-0000-0200-000013020000}"/>
    <hyperlink ref="D537" r:id="rId325" xr:uid="{00000000-0004-0000-0200-000014020000}"/>
    <hyperlink ref="C538" r:id="rId326" xr:uid="{00000000-0004-0000-0200-000015020000}"/>
    <hyperlink ref="C539" r:id="rId327" xr:uid="{00000000-0004-0000-0200-000016020000}"/>
    <hyperlink ref="C540" r:id="rId328" xr:uid="{00000000-0004-0000-0200-000017020000}"/>
    <hyperlink ref="C541" r:id="rId329" xr:uid="{00000000-0004-0000-0200-000018020000}"/>
    <hyperlink ref="C542" r:id="rId330" xr:uid="{00000000-0004-0000-0200-000019020000}"/>
    <hyperlink ref="C543" r:id="rId331" tooltip="Portrait d'une chercheuse/conseillère scientifique au Biodôme de Montréal" xr:uid="{00000000-0004-0000-0200-00001A020000}"/>
    <hyperlink ref="C544" r:id="rId332" tooltip="Interview Nil Rahola - Ingénieur d'Étude en Entomologie Médicale" xr:uid="{00000000-0004-0000-0200-00001B020000}"/>
    <hyperlink ref="C545" r:id="rId333" tooltip="Interview Louis Clément Gouagna - Chargé de Recherche" xr:uid="{00000000-0004-0000-0200-00001C020000}"/>
    <hyperlink ref="C548" r:id="rId334" tooltip="Interview de Mégann - Ingénieure biomatériaux chez Lattice" xr:uid="{00000000-0004-0000-0200-00001D020000}"/>
    <hyperlink ref="C549" r:id="rId335" tooltip="Jérôme, Responsable qualité chez Lattice Medical | Interview" xr:uid="{00000000-0004-0000-0200-00001E020000}"/>
    <hyperlink ref="C550" r:id="rId336" tooltip="Damien, Ingénieur R&amp;D chez Lattice Medical | Interview" xr:uid="{00000000-0004-0000-0200-00001F020000}"/>
    <hyperlink ref="C551" r:id="rId337" tooltip="Shengheng, Ingénieur Biomédical chez Lattice Medical | Interview" xr:uid="{00000000-0004-0000-0200-000020020000}"/>
    <hyperlink ref="C552" r:id="rId338" tooltip="Jaime, Responsable R&amp;D chez Lattice Medical | Interview" xr:uid="{00000000-0004-0000-0200-000021020000}"/>
    <hyperlink ref="C553" r:id="rId339" tooltip="Chloé, Responsable industrialisation et méthodes chez Lattice Medical | Interview" xr:uid="{00000000-0004-0000-0200-000022020000}"/>
    <hyperlink ref="C554" r:id="rId340" tooltip="Amélia, Ingénieure en biologie cellulaire chez Lattice Medical | Interview" xr:uid="{00000000-0004-0000-0200-000023020000}"/>
    <hyperlink ref="C555" r:id="rId341" tooltip="Lou, Ingénieure industrialisation et méthodes chez Lattice Medical | Interview" xr:uid="{00000000-0004-0000-0200-000024020000}"/>
    <hyperlink ref="C556" r:id="rId342" tooltip="Josué, Responsable des Affaires Réglementaires chez Lattice Medical | Interview" xr:uid="{00000000-0004-0000-0200-000025020000}"/>
    <hyperlink ref="C557" r:id="rId343" tooltip="Christophe, Ingénieur de Production chez Lattice Medical | Interview" xr:uid="{00000000-0004-0000-0200-000026020000}"/>
    <hyperlink ref="C558" r:id="rId344" tooltip="Kévin, Ingénieur R&amp;D biomécanique chez Lattice Medical | Interview" xr:uid="{00000000-0004-0000-0200-000027020000}"/>
    <hyperlink ref="C559" r:id="rId345" tooltip="Solemne, Chargée de Marketing chez Lattice Medical | Interview" xr:uid="{00000000-0004-0000-0200-000028020000}"/>
    <hyperlink ref="C560" r:id="rId346" tooltip="Louise Griveau, docteure en biomatériaux" xr:uid="{00000000-0004-0000-0200-000029020000}"/>
    <hyperlink ref="C565" r:id="rId347" tooltip="Portrait d'enseignant - Valérie, professeure de SVT" xr:uid="{00000000-0004-0000-0200-00002A020000}"/>
    <hyperlink ref="C566" r:id="rId348" tooltip="Animateur nature, Théo" xr:uid="{00000000-0004-0000-0200-00002B020000}"/>
    <hyperlink ref="C567" r:id="rId349" tooltip="Femmes et géosciences : témoignage de Cécile Robin" xr:uid="{00000000-0004-0000-0200-00002C020000}"/>
    <hyperlink ref="C568" r:id="rId350" xr:uid="{00000000-0004-0000-0200-00002D020000}"/>
    <hyperlink ref="C578" r:id="rId351" tooltip="Le métier d'ingénieure environnement - Hélène Delmas, Eiffage" xr:uid="{00000000-0004-0000-0200-00002E020000}"/>
    <hyperlink ref="C580" r:id="rId352" tooltip="Charlotte Morbu, technicienne environnement biodiversité | Reconversion" xr:uid="{00000000-0004-0000-0200-00002F020000}"/>
    <hyperlink ref="C582" r:id="rId353" tooltip="Responsable d'exploitation de l'eau" xr:uid="{00000000-0004-0000-0200-000030020000}"/>
    <hyperlink ref="C583" r:id="rId354" tooltip="Responsable adjoint d'une station d'épuration" xr:uid="{00000000-0004-0000-0200-000031020000}"/>
    <hyperlink ref="C584" r:id="rId355" tooltip="Agent d'exploitation de l'eau" xr:uid="{00000000-0004-0000-0200-000032020000}"/>
    <hyperlink ref="C585" r:id="rId356" tooltip="Femmes et géosciences : témoignage de Corinne Leyval" xr:uid="{00000000-0004-0000-0200-000033020000}"/>
    <hyperlink ref="C586" r:id="rId357" xr:uid="{00000000-0004-0000-0200-000034020000}"/>
    <hyperlink ref="C587" r:id="rId358" xr:uid="{00000000-0004-0000-0200-000035020000}"/>
    <hyperlink ref="C590" r:id="rId359" xr:uid="{00000000-0004-0000-0200-000036020000}"/>
    <hyperlink ref="C591" r:id="rId360" xr:uid="{00000000-0004-0000-0200-000037020000}"/>
    <hyperlink ref="C592" r:id="rId361" xr:uid="{00000000-0004-0000-0200-000038020000}"/>
    <hyperlink ref="C593" r:id="rId362" tooltip="Paysagiste Concepteur | Onisep TV" xr:uid="{00000000-0004-0000-0200-000039020000}"/>
    <hyperlink ref="C594" r:id="rId363" tooltip="Fleuriste | Onisep TV" xr:uid="{00000000-0004-0000-0200-00003A020000}"/>
    <hyperlink ref="C597" r:id="rId364" xr:uid="{00000000-0004-0000-0200-00003B020000}"/>
    <hyperlink ref="C598" r:id="rId365" xr:uid="{00000000-0004-0000-0200-00003C020000}"/>
    <hyperlink ref="C599" r:id="rId366" tooltip="Coulisses du spectacle EXO au Planétarium" xr:uid="{00000000-0004-0000-0200-00003D020000}"/>
    <hyperlink ref="C600" r:id="rId367" tooltip="Animateur nature, Théo" xr:uid="{00000000-0004-0000-0200-00003E020000}"/>
    <hyperlink ref="C601" r:id="rId368" tooltip="Marion, chargée de communication - Mon développement durable" xr:uid="{00000000-0004-0000-0200-00003F020000}"/>
    <hyperlink ref="C602" r:id="rId369" tooltip="Stéphane, directeur d'association - Mon développement durable" xr:uid="{00000000-0004-0000-0200-000040020000}"/>
    <hyperlink ref="C603" r:id="rId370" xr:uid="{00000000-0004-0000-0200-000041020000}"/>
    <hyperlink ref="C604" r:id="rId371" xr:uid="{00000000-0004-0000-0200-000042020000}"/>
    <hyperlink ref="C605" r:id="rId372" xr:uid="{00000000-0004-0000-0200-000043020000}"/>
    <hyperlink ref="C608" r:id="rId373" xr:uid="{00000000-0004-0000-0200-000044020000}"/>
    <hyperlink ref="C609" r:id="rId374" tooltip="Coulisses du spectacle EXO au Planétarium" xr:uid="{00000000-0004-0000-0200-000045020000}"/>
    <hyperlink ref="C610" r:id="rId375" xr:uid="{00000000-0004-0000-0200-000046020000}"/>
    <hyperlink ref="C613" r:id="rId376" tooltip="Vivre de la production de champignons bio en circuit court" xr:uid="{00000000-0004-0000-0200-000047020000}"/>
    <hyperlink ref="C614" r:id="rId377" tooltip="Missions du Laboratoire de la santé des végétaux, unité de mycologie" xr:uid="{00000000-0004-0000-0200-000048020000}"/>
    <hyperlink ref="C615" r:id="rId378" tooltip="MétaMyco : quand les naturalistes de l'ONF surveillent les champignons" xr:uid="{00000000-0004-0000-0200-000049020000}"/>
    <hyperlink ref="C618" r:id="rId379" tooltip="Clémentine Fritsch, chercheuse en écotoxicologie | Talents CNRS" xr:uid="{00000000-0004-0000-0200-00004A020000}"/>
    <hyperlink ref="C619" r:id="rId380" tooltip="Kevin Tallec, ingénieur écotoxicologie/environnement | Ouest-France" xr:uid="{00000000-0004-0000-0200-00004B020000}"/>
    <hyperlink ref="C620" r:id="rId381" xr:uid="{00000000-0004-0000-0200-00004C020000}"/>
    <hyperlink ref="C621" r:id="rId382" xr:uid="{00000000-0004-0000-0200-00004D020000}"/>
    <hyperlink ref="C622" r:id="rId383" xr:uid="{00000000-0004-0000-0200-00004E020000}"/>
    <hyperlink ref="C628" r:id="rId384" tooltip="Examen médical d'un esturgeon noir au Biodôme de Montréal" xr:uid="{00000000-0004-0000-0200-00004F020000}"/>
    <hyperlink ref="C629" r:id="rId385" tooltip="Assistante vétérinaire | Onisep TV" xr:uid="{00000000-0004-0000-0200-000050020000}"/>
    <hyperlink ref="C630" r:id="rId386" xr:uid="{00000000-0004-0000-0200-000051020000}"/>
    <hyperlink ref="C631" r:id="rId387" xr:uid="{00000000-0004-0000-0200-000052020000}"/>
    <hyperlink ref="C632" r:id="rId388" xr:uid="{00000000-0004-0000-0200-000053020000}"/>
    <hyperlink ref="C633" r:id="rId389" xr:uid="{00000000-0004-0000-0200-000054020000}"/>
    <hyperlink ref="C634" r:id="rId390" xr:uid="{00000000-0004-0000-0200-000055020000}"/>
    <hyperlink ref="C635" r:id="rId391" xr:uid="{00000000-0004-0000-0200-000056020000}"/>
    <hyperlink ref="C636" r:id="rId392" xr:uid="{00000000-0004-0000-0200-000057020000}"/>
    <hyperlink ref="C637" r:id="rId393" xr:uid="{00000000-0004-0000-0200-000058020000}"/>
    <hyperlink ref="C638" r:id="rId394" xr:uid="{00000000-0004-0000-0200-000059020000}"/>
    <hyperlink ref="C640" r:id="rId395" xr:uid="{00000000-0004-0000-0200-00005A020000}"/>
    <hyperlink ref="C641" r:id="rId396" xr:uid="{00000000-0004-0000-0200-00005B020000}"/>
    <hyperlink ref="C642" r:id="rId397" xr:uid="{00000000-0004-0000-0200-00005C020000}"/>
    <hyperlink ref="C643" r:id="rId398" xr:uid="{00000000-0004-0000-0200-00005D020000}"/>
    <hyperlink ref="C644" r:id="rId399" xr:uid="{00000000-0004-0000-0200-00005E020000}"/>
    <hyperlink ref="C645" r:id="rId400" xr:uid="{00000000-0004-0000-0200-00005F020000}"/>
    <hyperlink ref="C646" r:id="rId401" xr:uid="{00000000-0004-0000-0200-000060020000}"/>
    <hyperlink ref="C650" r:id="rId402" xr:uid="{00000000-0004-0000-0200-000061020000}"/>
    <hyperlink ref="C653" r:id="rId403" xr:uid="{00000000-0004-0000-0200-000062020000}"/>
    <hyperlink ref="C655" r:id="rId404" xr:uid="{00000000-0004-0000-0200-000063020000}"/>
    <hyperlink ref="C659" r:id="rId405" xr:uid="{00000000-0004-0000-0200-000064020000}"/>
    <hyperlink ref="C660" r:id="rId406" xr:uid="{00000000-0004-0000-0200-000065020000}"/>
    <hyperlink ref="C666" r:id="rId407" tooltip="Devenir œnologue : découvrez le Diplôme National d'Œnologue (DNO)" xr:uid="{0732F269-1FF8-409A-855C-BD5AF0981F71}"/>
    <hyperlink ref="C667" r:id="rId408" tooltip="C'est mon job #37 | Audrey Ricordi | Maître de Chai | Château Brane-Cantenac" xr:uid="{C0DB8C40-FE0C-45FD-B8EC-41B101E5AEF4}"/>
    <hyperlink ref="C668" r:id="rId409" tooltip="Fiche métier | Agent de chai" xr:uid="{F9E2C58F-E8C9-4AF2-94A4-C45DC0D8B974}"/>
    <hyperlink ref="C669" r:id="rId410" tooltip="En direct – Rencontres 2022 - Échange avec Vanessa, Responsable Qualité &amp; Vignoble" xr:uid="{BADEB6CD-3DD2-48F7-8AE8-3E87CCC48EDF}"/>
    <hyperlink ref="C671" r:id="rId411" tooltip="ÊTRE COMMERCIAL DANS LE VIN, UN DÉFI À RELEVER PAR JULIEN ! - Vins et Cadeaux" xr:uid="{5EE129C7-CE1A-4ECA-89D3-223645C670C1}"/>
    <hyperlink ref="C672" r:id="rId412" tooltip="[Nos Métiers] Caviste indépendant à Lille" xr:uid="{C68BA511-81C2-4FB7-B82F-59ED2882ED2C}"/>
    <hyperlink ref="C673" r:id="rId413" tooltip="Le métier de responsable commercial export - Portrait de pros" xr:uid="{0CEDD2E3-C4CD-4EBC-8EFD-1EC3DE21B84E}"/>
    <hyperlink ref="C368" r:id="rId414" tooltip="Batsheva, vétérinaire à Kerguelen" xr:uid="{22655FB4-EF39-49BC-BBDC-BA6942777E98}"/>
    <hyperlink ref="C369" r:id="rId415" tooltip="Marine, chimiste sur l'île d'Amsterdam" xr:uid="{BBE8EA67-A7D0-4849-9A2C-CD292B60C567}"/>
    <hyperlink ref="C370" r:id="rId416" tooltip="🕹️ C'est quoi être pilote du Nautile ?" xr:uid="{9CCD6F79-8D83-4E22-8657-4D5DB63B188C}"/>
    <hyperlink ref="C371" r:id="rId417" tooltip="À Brest, une vingtaine de plongeurs scientifiques mènent leurs recherches de A à Z." xr:uid="{09ABEA90-CD2C-491C-B0BB-54FA504495A8}"/>
    <hyperlink ref="D400" r:id="rId418" tooltip="À Brest, une vingtaine de plongeurs scientifiques mènent leurs recherches de A à Z." xr:uid="{6C414A1D-D8C0-4B68-892A-9A77A547ABE6}"/>
    <hyperlink ref="C234" r:id="rId419" tooltip="Le métier d'ingénieur d'études sanitaire en ARS 🌐⚕" xr:uid="{CE46A91A-BA0A-4BA2-98AE-BA1E979A72D6}"/>
    <hyperlink ref="C235" r:id="rId420" tooltip="Portrait métier : Technicien sanitaire" xr:uid="{67E6F336-0284-4EED-9EA1-94A6AED28E03}"/>
    <hyperlink ref="C236" r:id="rId421" tooltip="Un métier, une rencontre - Chargé de Projets Prévention" xr:uid="{6F322081-9052-4AFC-B02D-FCBF5256CC5F}"/>
    <hyperlink ref="D477" r:id="rId422" tooltip="Technicienne de la police scientifique" xr:uid="{288C1588-A48F-47DA-82C4-789C6975B132}"/>
    <hyperlink ref="C479" r:id="rId423" tooltip="Présentation du métier d'expert en identification par empreinte génétique" xr:uid="{BB472665-3274-4C2D-A0CC-F7D1D5AF33A1}"/>
    <hyperlink ref="C252" r:id="rId424" tooltip="Cosmochimiste" xr:uid="{9E29F266-2E9D-4A14-949B-88266648A7EE}"/>
    <hyperlink ref="C253" r:id="rId425" tooltip="Planétologue" xr:uid="{5CDB17E8-4880-40E6-A2A7-21B4F5902788}"/>
    <hyperlink ref="D253" r:id="rId426" tooltip="Le parcours d'un planétologue - rencontre avec Michael Toplis" xr:uid="{64E44750-74E6-4BBF-970A-B9348D08E4FF}"/>
    <hyperlink ref="C254" r:id="rId427" tooltip="Physiologiste spatiale" xr:uid="{1F6E463B-2FBB-43B6-BAE8-B83E684C34FE}"/>
    <hyperlink ref="C256" r:id="rId428" tooltip="Biologiste microgravité" xr:uid="{7609BF6D-9D9F-4A3A-8747-61BF45A3C107}"/>
    <hyperlink ref="C255" r:id="rId429" tooltip="Directrice de recherche en physiologie spatiale" xr:uid="{87E7A5F2-0B66-467C-8319-7FC3F074E58C}"/>
    <hyperlink ref="C579" r:id="rId430" tooltip="C'est mon job #15 | Clémentine Duvigneau | Chargée d'études végétation en ville | Cerema" xr:uid="{977FB908-1B55-4B5D-9578-4BACFC7956E0}"/>
    <hyperlink ref="C674" r:id="rId431" tooltip="C'est mon job #22 | Océane Briant | Chargée d'affaires viticoles | Crédit Mutuel du Sud-Ouest" xr:uid="{A993E902-5E17-4B48-9449-E11D9DFEABB0}"/>
    <hyperlink ref="C263" r:id="rId432" tooltip="C'est mon job #22 | Océane Briant | Chargée d'affaires viticoles | Crédit Mutuel du Sud-Ouest" xr:uid="{1AACA750-1202-4EDE-BF9F-812BE46758BB}"/>
    <hyperlink ref="C677" r:id="rId433" xr:uid="{996381FF-AF11-49A6-BE37-6BADDF8174A1}"/>
    <hyperlink ref="C678" r:id="rId434" xr:uid="{05DE96EB-2867-42E8-BC36-117B99383B73}"/>
    <hyperlink ref="C679" r:id="rId435" xr:uid="{02ED3C76-5A09-4323-BF4B-D4EEB9B26111}"/>
    <hyperlink ref="C680" r:id="rId436" xr:uid="{238F5B3C-66DF-4385-A1BB-1E6807CEEAB9}"/>
    <hyperlink ref="C681" r:id="rId437" xr:uid="{CEB1CA95-3848-4414-9678-DDFCDD3861B2}"/>
    <hyperlink ref="C685" r:id="rId438" xr:uid="{9C338793-B627-4F25-95A5-30CD70091AD2}"/>
    <hyperlink ref="C686" r:id="rId439" xr:uid="{6F0C0409-D036-41E0-BB19-D23D612636FB}"/>
    <hyperlink ref="D686" r:id="rId440" xr:uid="{0C9BFAC4-7ED0-4313-8C7E-E139C98A6F1F}"/>
    <hyperlink ref="C689" r:id="rId441" xr:uid="{3BD8C1BA-D7C6-4FFE-870B-9454F3D62C1B}"/>
    <hyperlink ref="C690" r:id="rId442" xr:uid="{6CD79A68-1903-4AA4-8008-3BAE683098C9}"/>
    <hyperlink ref="C691" r:id="rId443" xr:uid="{0BDDA792-8CFF-4836-B50D-732A3D74DDF1}"/>
    <hyperlink ref="C692" r:id="rId444" xr:uid="{A48CD893-961C-4ECA-B669-D565078567A6}"/>
    <hyperlink ref="C693" r:id="rId445" xr:uid="{47E48F9D-B003-4744-8371-D2C2F6CB878E}"/>
    <hyperlink ref="C694" r:id="rId446" xr:uid="{856AADFC-40BC-4F34-B807-2538F2F8EDEE}"/>
    <hyperlink ref="C695" r:id="rId447" xr:uid="{5D1B4F29-6285-44A5-BCEB-3475DE807EAF}"/>
    <hyperlink ref="C696" r:id="rId448" xr:uid="{B68899BE-5633-4A71-A7FB-8408739D84FE}"/>
    <hyperlink ref="C697" r:id="rId449" xr:uid="{86A99B9B-B202-42E1-B523-BA28DCAEC37F}"/>
    <hyperlink ref="C698" r:id="rId450" xr:uid="{92DAACFD-B1DE-48BC-8D9D-EB9C36B7036F}"/>
    <hyperlink ref="C699" r:id="rId451" xr:uid="{E0E09646-977D-47FF-8FB6-1D060AE90181}"/>
    <hyperlink ref="C700" r:id="rId452" xr:uid="{E2C07F5D-28A1-42B9-B5F7-C486A9AE0275}"/>
    <hyperlink ref="C701" r:id="rId453" xr:uid="{359F096F-31D7-48DE-9A8C-2F7C82BF9D13}"/>
    <hyperlink ref="C702" r:id="rId454" xr:uid="{09787043-6B89-4B68-B65E-057612B4D6D4}"/>
    <hyperlink ref="C703" r:id="rId455" xr:uid="{5230CE1E-18BF-4B81-BA4B-B80F6E208F96}"/>
    <hyperlink ref="C707" r:id="rId456" xr:uid="{8DA048D4-FDAC-4A65-8B5A-1D2C5502DBB6}"/>
    <hyperlink ref="C708" r:id="rId457" xr:uid="{A76E2991-D9EB-4C9B-B896-502933C89883}"/>
    <hyperlink ref="C709" r:id="rId458" xr:uid="{87A4B706-4E18-4244-BDF4-DC1B69C6DEB8}"/>
    <hyperlink ref="C710" r:id="rId459" xr:uid="{7A685F80-FCCE-4DA0-81C1-97EDFFD1039C}"/>
    <hyperlink ref="C711" r:id="rId460" xr:uid="{B397DA33-467B-4A02-888C-C2A019C7A08A}"/>
    <hyperlink ref="C712" r:id="rId461" xr:uid="{4EC465B2-6E6D-42A3-926C-B58519FBD1A1}"/>
    <hyperlink ref="C713" r:id="rId462" xr:uid="{19DB8685-E68C-424F-B78C-001DE06CF7CF}"/>
    <hyperlink ref="C716" r:id="rId463" xr:uid="{2BE11E47-8C35-418D-BEE0-3F0208C07FA2}"/>
    <hyperlink ref="C717" r:id="rId464" xr:uid="{B1D65C41-ED37-4473-8ED8-8DD726E4A8EC}"/>
    <hyperlink ref="C719" r:id="rId465" xr:uid="{F6484AAD-12D6-4A45-901E-6705A056580B}"/>
    <hyperlink ref="C720" r:id="rId466" xr:uid="{0E83551D-FA61-4AA5-867C-6EE3ECC12665}"/>
    <hyperlink ref="C721" r:id="rId467" xr:uid="{0D4C5D8D-11A7-4582-87BE-17085A3748D1}"/>
    <hyperlink ref="C722" r:id="rId468" xr:uid="{61F0C4A4-E713-4A64-BDBC-6517221EF7F3}"/>
    <hyperlink ref="C724" r:id="rId469" xr:uid="{3F79299A-159E-4D18-88D7-4AF79026CDCC}"/>
    <hyperlink ref="C725" r:id="rId470" xr:uid="{861CDEE5-1AC5-4094-AEC5-551CDFBD0E5D}"/>
    <hyperlink ref="C726" r:id="rId471" xr:uid="{1A4DCB1D-03AB-48B3-A698-93D80BAB0312}"/>
    <hyperlink ref="C727" r:id="rId472" xr:uid="{6FD8D6BA-0463-491B-9630-D99D26511774}"/>
    <hyperlink ref="C728" r:id="rId473" xr:uid="{D2D63473-EB23-4C40-B85C-DAAF8F6CE638}"/>
    <hyperlink ref="C729" r:id="rId474" xr:uid="{E1926636-0D95-46F8-9F21-A8A62D7428D3}"/>
    <hyperlink ref="D729" r:id="rId475" xr:uid="{243D9E90-6D55-4A7B-8EE7-C0EFA62039E9}"/>
    <hyperlink ref="C730" r:id="rId476" xr:uid="{BDE6DAEB-9266-44A9-BE26-8194F2ADCFF9}"/>
    <hyperlink ref="C731" r:id="rId477" xr:uid="{770EBD50-2614-43FF-BB8D-A0E3C2FDC865}"/>
    <hyperlink ref="D731" r:id="rId478" xr:uid="{1347496E-6260-4C93-BE78-2E0121697570}"/>
    <hyperlink ref="C732" r:id="rId479" xr:uid="{6390A3A1-B12D-4B68-BB66-6BBB750D7CDE}"/>
    <hyperlink ref="C735" r:id="rId480" xr:uid="{3526B055-0CA4-46A4-ACD3-B247F87EE442}"/>
    <hyperlink ref="C736" r:id="rId481" xr:uid="{FE24CBB6-015A-4FC5-BB52-A05A4A57D74A}"/>
    <hyperlink ref="D736" r:id="rId482" xr:uid="{4E5C7B60-726E-46F2-A20D-7D037DE303FF}"/>
    <hyperlink ref="C737" r:id="rId483" xr:uid="{4A6ACDB6-19F9-4DDD-90CA-0D4364849474}"/>
    <hyperlink ref="C738" r:id="rId484" xr:uid="{C4675AC7-7F8C-4F7A-BDC7-FF20A33694A7}"/>
    <hyperlink ref="D738" r:id="rId485" tooltip="Le métier d'ergothérapeute : au service de l'autonomie" xr:uid="{E40875A5-72E7-4FFD-BAD5-3680FDF98575}"/>
    <hyperlink ref="C739" r:id="rId486" xr:uid="{2995A9A1-E742-484B-B28B-606AF87FC27E}"/>
    <hyperlink ref="D739" r:id="rId487" xr:uid="{8B2B2C14-A6E4-4580-A0C1-15683EBA12B0}"/>
    <hyperlink ref="C740" r:id="rId488" xr:uid="{12E55480-1AF8-45E4-9BBD-03E5E34B26D3}"/>
    <hyperlink ref="C741" r:id="rId489" xr:uid="{4EB3C89F-0FA1-4E4E-BDD8-B6DDBB08BA6B}"/>
    <hyperlink ref="C742" r:id="rId490" xr:uid="{9E1AEBBD-38CF-4635-B2A6-B464B0905E1E}"/>
    <hyperlink ref="C743" r:id="rId491" xr:uid="{0210F857-554D-4FC6-843E-46D42356657B}"/>
    <hyperlink ref="C744" r:id="rId492" xr:uid="{23D0D378-4949-4A97-A0D6-6FDE55655AC7}"/>
    <hyperlink ref="C745" r:id="rId493" tooltip="Infirmier en santé scolaire" xr:uid="{6603E91B-76D3-4417-824C-FDE45BE28DCE}"/>
    <hyperlink ref="C746" r:id="rId494" xr:uid="{886D16CA-3904-4481-B342-0B7384D0B939}"/>
    <hyperlink ref="C747" r:id="rId495" xr:uid="{E9225B33-112B-4B43-9DA5-03B4DF10B8BB}"/>
    <hyperlink ref="C748" r:id="rId496" xr:uid="{B42B6E6B-15D4-47BC-8958-0E57E56C0D58}"/>
    <hyperlink ref="C749" r:id="rId497" xr:uid="{6B752AC7-90A1-42F7-9F91-24B7BB4CD7EC}"/>
    <hyperlink ref="D749" r:id="rId498" xr:uid="{53910113-D8C8-4BAC-A781-BE6207F0ADBB}"/>
    <hyperlink ref="C750" r:id="rId499" xr:uid="{C4FFAE88-8BC5-4B1B-927E-286203DA1299}"/>
    <hyperlink ref="D750" r:id="rId500" xr:uid="{B4FA3920-4D03-4591-BCC8-D9F6953CE45F}"/>
    <hyperlink ref="C751" r:id="rId501" xr:uid="{13704E09-76B8-49B5-B13E-8968443B9732}"/>
    <hyperlink ref="C752" r:id="rId502" xr:uid="{6A7F5EC7-9D7E-4076-91D3-9798F41F0F10}"/>
    <hyperlink ref="C753" r:id="rId503" xr:uid="{F53DCA01-1B35-4A1A-B30A-860997744A15}"/>
    <hyperlink ref="C756" r:id="rId504" xr:uid="{9B93855B-8685-49F6-96B0-E93B2E5F3EFC}"/>
    <hyperlink ref="D756" r:id="rId505" xr:uid="{C4FBC99B-F25A-4762-9FEF-A1F18A7EF993}"/>
    <hyperlink ref="C759" r:id="rId506" xr:uid="{96B3A97F-75A5-4AA3-89B4-30C80B3746C7}"/>
    <hyperlink ref="C760" r:id="rId507" xr:uid="{4EDFDCD0-5470-488F-ACFA-86A449A5C820}"/>
    <hyperlink ref="D760" r:id="rId508" xr:uid="{30A69F02-541D-452A-A10C-FE0535F8747E}"/>
    <hyperlink ref="C761" r:id="rId509" xr:uid="{80AE4932-0F18-401F-9C31-88C63CA1DB2D}"/>
    <hyperlink ref="C762" r:id="rId510" xr:uid="{3344F193-527F-4B14-B457-5B35CB94DFE9}"/>
    <hyperlink ref="C763" r:id="rId511" xr:uid="{CDBF1EC6-D7B7-4BE8-9584-E27E6E480DDB}"/>
    <hyperlink ref="C764" r:id="rId512" xr:uid="{1BD14AD3-D198-4552-B1A5-D33E4CFCEBE5}"/>
    <hyperlink ref="C765" r:id="rId513" xr:uid="{5F46F75B-DC75-4AC6-8236-C38B61A0C7A6}"/>
    <hyperlink ref="C767" r:id="rId514" xr:uid="{0BB50546-127F-4D09-9098-F38B374368E2}"/>
    <hyperlink ref="C768" r:id="rId515" xr:uid="{96D8B875-E814-4F7F-B728-65C127E46500}"/>
    <hyperlink ref="C769" r:id="rId516" xr:uid="{404B1688-8FAF-4D3A-A627-279727A77B1A}"/>
    <hyperlink ref="C772" r:id="rId517" xr:uid="{CB1C4084-657A-4398-BC49-096506C15E7D}"/>
    <hyperlink ref="C773" r:id="rId518" xr:uid="{FF2182F3-0FFC-473A-B1C5-58EA0F014D35}"/>
    <hyperlink ref="C774" r:id="rId519" xr:uid="{263B4510-A849-4608-A5FC-BF9B06FC5445}"/>
    <hyperlink ref="C775" r:id="rId520" xr:uid="{B7F759C4-E441-4793-AADA-8F8FDB55223E}"/>
    <hyperlink ref="C776" r:id="rId521" xr:uid="{81EC78B9-D2E0-4DF9-AE3E-A5D237FFAEFF}"/>
    <hyperlink ref="C766" r:id="rId522" xr:uid="{C4A92975-DBB6-40EF-A906-DD10C9209115}"/>
    <hyperlink ref="C779" r:id="rId523" xr:uid="{A8018981-2DB1-42FC-ABC8-1B5668315081}"/>
    <hyperlink ref="C781" r:id="rId524" xr:uid="{DFF72396-3F3E-49EB-BF72-8D42BB8AE92C}"/>
    <hyperlink ref="C782" r:id="rId525" xr:uid="{0DDAC920-4A21-4919-B244-CAAF92D7F44E}"/>
    <hyperlink ref="C783" r:id="rId526" tooltip="Bergère | Onisep TV" xr:uid="{71557754-21D5-4822-B789-97D0C179B3B0}"/>
    <hyperlink ref="C785" r:id="rId527" xr:uid="{F3B26696-01CD-4FF1-A1B3-AA829F36C0DA}"/>
    <hyperlink ref="C787" r:id="rId528" tooltip="Fiche Métier | cheffe de culture sous serre" xr:uid="{9A0505C9-E886-420A-B749-9A56C37280A4}"/>
    <hyperlink ref="C790" r:id="rId529" xr:uid="{2A8C88C5-8108-4CFC-BB0F-037CE177D78D}"/>
    <hyperlink ref="C792" r:id="rId530" xr:uid="{37E0FD4A-B991-481F-9BB1-9BD2E9375672}"/>
    <hyperlink ref="C793" r:id="rId531" tooltip="Éleveuse de lapins | Onisep TV" xr:uid="{876A468F-CED5-490F-B0AE-5A014EA28A25}"/>
    <hyperlink ref="C795" r:id="rId532" xr:uid="{6606BB29-6296-4445-9929-59725F0E1989}"/>
    <hyperlink ref="D795" r:id="rId533" tooltip="Félix — formé ingénieur agroalimentaire, aujourd'hui installé en exploitation agricole" xr:uid="{9BBB6300-2149-41A5-AF51-5849C88E7F5D}"/>
    <hyperlink ref="C800" r:id="rId534" tooltip="Directeur d'une coopérative vinicole | Onisep TV" xr:uid="{B607263A-BB98-43D7-89E5-6C1DE8BB47E1}"/>
    <hyperlink ref="C801" r:id="rId535" xr:uid="{3BFAB657-F756-420C-A6E9-0A6F668DB541}"/>
    <hyperlink ref="C802" r:id="rId536" tooltip="Ouvrière viticole : Entretenir et développer la vigne" xr:uid="{796172E9-2BFF-4F18-8F42-4A8CD4AF0A47}"/>
    <hyperlink ref="C803" r:id="rId537" xr:uid="{BC8E175F-2E47-4ED7-A1E0-A01FE3FCF2A0}"/>
    <hyperlink ref="C804" r:id="rId538" tooltip="En direct – Rencontres 2022 - Échange avec Vanessa, Responsable Qualité &amp; Vignoble" xr:uid="{6A46D608-E1BA-4852-AB7D-DD8D7AC414DE}"/>
    <hyperlink ref="C806" r:id="rId539" tooltip="#1001métiersdAvenir - technicienne viticole" xr:uid="{D611C25D-E451-4307-881A-5DC484A20624}"/>
    <hyperlink ref="C807" r:id="rId540" xr:uid="{7626829D-5B2B-4EE5-95F6-A5CB273484B7}"/>
    <hyperlink ref="C810" r:id="rId541" xr:uid="{87176CDA-2AE4-4DCF-83EF-886F6EA73C26}"/>
    <hyperlink ref="C811" r:id="rId542" xr:uid="{43ADD1E2-1505-4BBC-9F92-D9E39DA44DCF}"/>
    <hyperlink ref="C812" r:id="rId543" xr:uid="{9D93B559-8039-437F-81E1-A0338903646A}"/>
    <hyperlink ref="C813" r:id="rId544" xr:uid="{C39D6EE3-C9F5-41FA-8BB8-7BB4F923987E}"/>
    <hyperlink ref="C814" r:id="rId545" xr:uid="{E325CAFE-3B2A-49B4-BA22-D734692ED5FD}"/>
    <hyperlink ref="C815" r:id="rId546" xr:uid="{E4668F02-A780-4AF7-8641-602002D8F8D7}"/>
    <hyperlink ref="C816" r:id="rId547" xr:uid="{8F426A11-96BF-46DA-8CA7-AB12585343BD}"/>
    <hyperlink ref="C817" r:id="rId548" xr:uid="{7573D1A1-B2B7-4D3C-9BC9-8D017F480108}"/>
    <hyperlink ref="C818" r:id="rId549" xr:uid="{2BC32DEC-E743-48BD-97C9-9EBCD8FA3B3B}"/>
    <hyperlink ref="D818" r:id="rId550" xr:uid="{3E646A73-5368-4ADA-8DAA-DD4EA76BED15}"/>
    <hyperlink ref="C819" r:id="rId551" tooltip="Responsable R&amp;D en génie végétal | Onisep TV" xr:uid="{661598B2-07FF-47E0-B13A-529924CD1198}"/>
    <hyperlink ref="C820" r:id="rId552" tooltip="Technicien préparateur en production et expérimentation végétale" xr:uid="{66FC675D-9E0E-49CF-BA90-B0695D519703}"/>
    <hyperlink ref="C821" r:id="rId553" xr:uid="{B08D44C3-27E6-4AEC-908D-A4E758FAEBCA}"/>
    <hyperlink ref="C825" r:id="rId554" xr:uid="{F8119195-9888-4C0D-9777-5C111DB7E6D0}"/>
    <hyperlink ref="C826" r:id="rId555" xr:uid="{1B0AFD02-DA55-438A-8440-F5B0676D405F}"/>
    <hyperlink ref="C828" r:id="rId556" xr:uid="{CF5D60E3-3757-4A19-B3C4-C42427BFE518}"/>
    <hyperlink ref="C829" r:id="rId557" xr:uid="{B720E2FA-7417-4C9C-B2B8-FEF0564D004D}"/>
    <hyperlink ref="C830" r:id="rId558" xr:uid="{8F180B4F-DAD5-4EB5-A6DF-3E0ABE1A393B}"/>
    <hyperlink ref="C831" r:id="rId559" xr:uid="{66FD6937-928C-43EB-820D-152593A83564}"/>
    <hyperlink ref="C832" r:id="rId560" xr:uid="{5319E1AC-05F7-4960-BE60-B8DCA88F658E}"/>
    <hyperlink ref="D832" r:id="rId561" xr:uid="{542CB272-5679-45C9-9365-01091CD84E3B}"/>
    <hyperlink ref="C833" r:id="rId562" xr:uid="{363A3AC8-40F9-43A0-A7F3-4ABEF053401A}"/>
    <hyperlink ref="C834" r:id="rId563" xr:uid="{617AE5C9-1493-4929-AD4A-D7110EEFBE97}"/>
    <hyperlink ref="C835" r:id="rId564" xr:uid="{5046E6EC-311F-427C-99E2-45330D53E5BC}"/>
    <hyperlink ref="C836" r:id="rId565" xr:uid="{C6E48A79-5782-4E3B-B0CB-6373AEA1D68E}"/>
    <hyperlink ref="C839" r:id="rId566" tooltip="Les métiers de la forêt: biologiste/technicien de la faune" xr:uid="{A476C656-A669-468E-A848-D7180C47DBC2}"/>
    <hyperlink ref="C840" r:id="rId567" tooltip="Métiers de la forêt et du bois : Le métier de biologiste et d'écologiste" xr:uid="{0AB385A1-39B4-4357-BDB4-AD5BD1158E96}"/>
    <hyperlink ref="C841" r:id="rId568" xr:uid="{8CEA3A3C-ACC7-4DFA-A7A0-BD39307CD7F8}"/>
    <hyperlink ref="C842" r:id="rId569" xr:uid="{02596153-F619-4684-8B69-277988935F5A}"/>
    <hyperlink ref="C845" r:id="rId570" tooltip="Marine, cheffe de projet aménagement" xr:uid="{200401F6-2A22-4BEF-9176-C2BC3072212E}"/>
    <hyperlink ref="C846" r:id="rId571" tooltip="Missions du Laboratoire de la santé des végétaux, unité de mycologie" xr:uid="{BCBD2B65-00BB-4D3F-BC01-73900BAF1C85}"/>
    <hyperlink ref="C847" r:id="rId572" tooltip="Nicolas Jannault, directeur d'agence territoriale à l'ONF" xr:uid="{658BB5E5-86DE-4B98-8BE2-A059093FB296}"/>
    <hyperlink ref="C848" r:id="rId573" xr:uid="{E0C4C565-272B-44CE-B3EA-07EC606F451C}"/>
    <hyperlink ref="C849" r:id="rId574" tooltip="Profession : Gestionnaire forestier | EcoTree" xr:uid="{DFD545F1-AAD9-4EF7-9135-B8229DC1E0F7}"/>
    <hyperlink ref="D849" r:id="rId575" tooltip="Découvre le métier de Guillaume, conseiller/gestionnaire forestier" xr:uid="{D3C519B5-0378-44EE-BDF0-7B9A4C78ECCB}"/>
    <hyperlink ref="C850" r:id="rId576" xr:uid="{B5FD126B-DFEC-4E99-B674-A90A393EE4DA}"/>
    <hyperlink ref="D850" r:id="rId577" xr:uid="{C6B6B726-A657-45E1-8581-5941E3C7008C}"/>
    <hyperlink ref="C851" r:id="rId578" tooltip="Métiers de la forêt et du bois : La profession d'ingénieur forestier" xr:uid="{98F0F945-1160-4395-9359-DD394D8A034A}"/>
    <hyperlink ref="C852" r:id="rId579" tooltip="MétaMyco : quand les naturalistes de l'ONF surveillent les champignons" xr:uid="{F121A160-AB94-46A9-9498-F8F1D069A007}"/>
    <hyperlink ref="C853" r:id="rId580" xr:uid="{0D7CE9F5-229A-4C79-8DA9-A30A5015449D}"/>
    <hyperlink ref="D853" r:id="rId581" xr:uid="{961A9BDB-39B6-461F-B977-F10C2AE51A6C}"/>
    <hyperlink ref="C856" r:id="rId582" tooltip="Métiers de la forêt et du bois : Le métier d'acériculteur" xr:uid="{7E6D80C4-BA4C-4FAE-AB23-25D1AAF151E1}"/>
    <hyperlink ref="C857" r:id="rId583" tooltip="Agents forestiers" xr:uid="{56AA8479-34FC-46BF-B264-4844ABFA9ED6}"/>
    <hyperlink ref="C858" r:id="rId584" tooltip="Entrepreneur en travaux forestiers" xr:uid="{5663F5CD-3851-4AC5-B2F9-90CA67D3B36D}"/>
    <hyperlink ref="C859" r:id="rId585" tooltip="Être garde forestier ? C'est sauver la forêt, tous les jours !" xr:uid="{D56C12C8-250E-4448-A758-538E9DBCB95C}"/>
    <hyperlink ref="C860" r:id="rId586" tooltip="Profession : Ouvrier forestier | planteur d'arbres | EcoTree" xr:uid="{4A040170-8E5A-4095-8C06-E32F8C4A4026}"/>
    <hyperlink ref="C861" r:id="rId587" tooltip="Profession : Pépiniériste - planteur de graines | EcoTree" xr:uid="{AFABB14B-4D7C-41BE-87A5-1CAFAA165564}"/>
    <hyperlink ref="C862" r:id="rId588" tooltip="Témoignage d'Antoine en BP RCF - Responsable de Chantiers Forestiers" xr:uid="{927244B3-368C-4252-B4CA-4C4229D58383}"/>
    <hyperlink ref="C863" r:id="rId589" tooltip="Le métier de sylviculteur" xr:uid="{127BF4D3-6FBA-4D2D-A4E3-E520534809B9}"/>
    <hyperlink ref="C864" r:id="rId590" tooltip="Technicien forestier à l'ONF Grand Est - métiers forêt-bois" xr:uid="{02E2EA31-0CD8-425D-98EE-00696F22C1C3}"/>
    <hyperlink ref="D864" r:id="rId591" xr:uid="{2B985D8F-8ED1-4EE5-AEA8-53A0CEF6C4DC}"/>
    <hyperlink ref="C865" r:id="rId592" tooltip="Métiers de la forêt et du bois : Le métier de technologue forestier" xr:uid="{5E4879A0-1509-4F68-9B3B-3269A5F280EE}"/>
    <hyperlink ref="C868" r:id="rId593" tooltip="Profession : Acheteur d'arbres sur pied | forestier | EcoTree" xr:uid="{D8BE0921-2366-423D-994E-A13DDFB21CDB}"/>
    <hyperlink ref="C869" r:id="rId594" tooltip="Portrait : Marc, Chargé d'affaires menuiserie" xr:uid="{8A037C15-2AFE-46AF-B713-AAD3D9AE8423}"/>
    <hyperlink ref="C870" r:id="rId595" tooltip="Portrait : Marion, chargée d'études chez Asselin" xr:uid="{E9971CAC-C63A-4732-A87A-4160ABF753DB}"/>
    <hyperlink ref="C871" r:id="rId596" tooltip="Charpentier constructeur bois" xr:uid="{E904395D-8223-45E0-BA60-92BCCD00869E}"/>
    <hyperlink ref="C872" r:id="rId597" tooltip="Le métier de commerciale négoce bois" xr:uid="{CC7EFC72-0934-463E-9A94-313BF2BEB50A}"/>
    <hyperlink ref="C873" r:id="rId598" tooltip="Le métier de directeur de production bois" xr:uid="{86771FE7-63A7-4BCE-AA54-504225289D1A}"/>
    <hyperlink ref="C874" r:id="rId599" tooltip="Directeur industriel, responsable de parc à grumes" xr:uid="{78570C1D-6079-4B61-8CCE-642A06BA2E45}"/>
    <hyperlink ref="C875" r:id="rId600" tooltip="Ingénieur du bois : parcours d'un spécialiste des structures en bois" xr:uid="{6D38FD16-6E05-400E-BA75-757D7225F955}"/>
    <hyperlink ref="D875" r:id="rId601" tooltip="Portrait : Caroline, Ingénieure structure Bois" xr:uid="{885CC977-54CB-4577-B3D5-2380810715D3}"/>
    <hyperlink ref="C876" r:id="rId602" tooltip="Métiers de la forêt et du bois : profession luthier" xr:uid="{DBB30A07-D86E-4647-BDAE-EB003731B5D4}"/>
    <hyperlink ref="C877" r:id="rId603" tooltip="Portrait : Stephen, Responsable bureau d'études menuiserie/charpente" xr:uid="{4C0A9211-651F-4A7F-9FEE-CF9C7EB1455B}"/>
    <hyperlink ref="C878" r:id="rId604" tooltip="Version courte - Responsable de développement QSE" xr:uid="{9FB5A87C-20DD-4990-B79F-72A42D13B370}"/>
    <hyperlink ref="C879" r:id="rId605" tooltip="Responsable de laboratoire" xr:uid="{74B74489-021B-4739-8187-52BAE0EDC6F2}"/>
    <hyperlink ref="C880" r:id="rId606" tooltip="Rencontre avec un responsable de production de scierie" xr:uid="{1752A82E-26B1-4317-8981-FC0311437C5A}"/>
    <hyperlink ref="C881" r:id="rId607" tooltip="Technicien-ne diplômé-e ES en Technique du bois" xr:uid="{1E017856-6B18-4547-B8BC-99DB2D221C0A}"/>
    <hyperlink ref="C882" r:id="rId608" tooltip="Profession : technico-commercial bois à l'ONF" xr:uid="{FF90489C-8A94-47C2-84B1-6217A3E3F2B3}"/>
    <hyperlink ref="C885" r:id="rId609" xr:uid="{E0202DE5-A225-4B06-A762-E1C53B3D3875}"/>
    <hyperlink ref="C886" r:id="rId610" tooltip="Yoann, conducteur de ligne de production alimentaire | Onisep TV" xr:uid="{8EF0692D-BEBC-46A1-A727-EEF2FCEFAF28}"/>
    <hyperlink ref="C887" r:id="rId611" xr:uid="{6D3D4D8F-3FD5-4D00-B05C-8B4770916A02}"/>
    <hyperlink ref="C888" r:id="rId612" xr:uid="{8A7523FD-EB20-459B-AB45-140BA79BA38C}"/>
    <hyperlink ref="C889" r:id="rId613" tooltip="Opérateur/opératrice de fabrication agroalimentaire | Onisep TV" xr:uid="{E124618F-1A79-4E0A-8865-8C56FDC7E1F8}"/>
    <hyperlink ref="C890" r:id="rId614" xr:uid="{A8304275-BB81-42F9-B180-40E73AD0C902}"/>
    <hyperlink ref="C891" r:id="rId615" tooltip="Responsable de maintenance en agroalimentaire | Onisep TV" xr:uid="{2D7FC9A3-DA16-49DC-999E-13393FD38B12}"/>
    <hyperlink ref="C892" r:id="rId616" xr:uid="{9742CED7-F0FE-4B99-9655-63E125AB073A}"/>
    <hyperlink ref="C893" r:id="rId617" xr:uid="{CAA6023B-3D06-48E0-B8C0-E960D42373E8}"/>
    <hyperlink ref="C896" r:id="rId618" xr:uid="{5EE894BE-F9B7-45D9-B1BC-C295B866A78B}"/>
    <hyperlink ref="C897" r:id="rId619" xr:uid="{FE6844B0-E1A8-4907-A87C-091D33EF0DA4}"/>
    <hyperlink ref="C898" r:id="rId620" xr:uid="{3A310727-8B5D-4C91-B03E-E7011657DC31}"/>
    <hyperlink ref="C899" r:id="rId621" xr:uid="{C64ACA19-A88E-490D-838F-18D39F70C6CA}"/>
    <hyperlink ref="D899" r:id="rId622" tooltip="Félix, ingénieur agroalimentaire | Un métier qui a du sens" xr:uid="{37DEDF54-F8B1-4463-A331-DEAB17CA3D42}"/>
    <hyperlink ref="C900" r:id="rId623" xr:uid="{71AA2CE1-D6C5-4DA4-A4AC-032BBD136F81}"/>
    <hyperlink ref="C901" r:id="rId624" xr:uid="{8EB8D88A-75A5-413F-AD73-79215ED567DE}"/>
    <hyperlink ref="C902" r:id="rId625" xr:uid="{9CD6503F-4867-4318-8234-F7D9D45194C5}"/>
    <hyperlink ref="C903" r:id="rId626" xr:uid="{1E80A3D5-7869-4B42-9D49-B9CAF8EEAB33}"/>
    <hyperlink ref="C909" r:id="rId627" xr:uid="{873A6864-F2F5-4968-8260-A4EE6B041BB8}"/>
    <hyperlink ref="C910" r:id="rId628" xr:uid="{8D879606-7C83-4888-95A7-50D20CE0F02A}"/>
    <hyperlink ref="C911" r:id="rId629" xr:uid="{155B7F2B-7C70-441F-B4C1-B0526CA81BD0}"/>
    <hyperlink ref="C912" r:id="rId630" xr:uid="{3352BD65-64CE-48FF-96E3-62716FBDD219}"/>
    <hyperlink ref="C913" r:id="rId631" xr:uid="{98A604B9-A2EB-4C65-9FDD-976D58847A21}"/>
    <hyperlink ref="C914" r:id="rId632" xr:uid="{369C103D-E576-4AB2-B32D-C28CABDDFB54}"/>
    <hyperlink ref="C915" r:id="rId633" xr:uid="{A158E751-2BD1-4FBF-A15E-6002DE69E76F}"/>
    <hyperlink ref="C916" r:id="rId634" xr:uid="{DAA88E06-026A-413D-8668-1D08B24DBE17}"/>
    <hyperlink ref="C917" r:id="rId635" xr:uid="{659DD170-3993-49AA-B6A9-C7F47DB073DE}"/>
    <hyperlink ref="C918" r:id="rId636" xr:uid="{23FA08A9-4D0C-4591-9F74-80D67BBA155B}"/>
    <hyperlink ref="C922" r:id="rId637" xr:uid="{74C7EB47-6D7F-4C49-9115-4B4AD79A7881}"/>
    <hyperlink ref="C923" r:id="rId638" xr:uid="{862ED68F-0A54-4514-BF9A-45F1DCB7359B}"/>
    <hyperlink ref="C924" r:id="rId639" xr:uid="{ABB97C9E-ADEB-4AB5-9840-EA262B978C93}"/>
    <hyperlink ref="C925" r:id="rId640" xr:uid="{24322A1E-538B-4E5B-BDF9-584F68D1B9C7}"/>
    <hyperlink ref="C926" r:id="rId641" xr:uid="{75F6A0F7-AADF-41E9-B449-F0E224D988D7}"/>
    <hyperlink ref="C927" r:id="rId642" xr:uid="{440F4191-22B7-415E-9854-C3D996F6131F}"/>
    <hyperlink ref="C928" r:id="rId643" xr:uid="{57A30B9D-F408-41E7-9494-8E1FFEB7F918}"/>
    <hyperlink ref="C309" r:id="rId644" tooltip="Volcanologue" xr:uid="{57D9725B-8CB0-4FEE-80A4-1FCDC6C21A61}"/>
    <hyperlink ref="C318" r:id="rId645" tooltip="Technicien de qualité" xr:uid="{AA33016E-D663-419B-A1B8-E2192DB78982}"/>
    <hyperlink ref="C319" r:id="rId646" tooltip="Pilote d'installations de traitement des granulats - Les chefs d'orchestre" xr:uid="{0F0F37BC-739E-4106-8419-37DA99A8EC0F}"/>
    <hyperlink ref="C320" r:id="rId647" tooltip="Martin, chef de carrière" xr:uid="{81152533-76C1-47D4-A2F0-F11E7671A94A}"/>
    <hyperlink ref="C328" r:id="rId648" tooltip="Interview de Ivan Bour, Pôle Géo-Sciences CFA UNICEM" xr:uid="{CD0DF41F-26FC-4C4D-83A4-6069232CC8B7}"/>
    <hyperlink ref="C331" r:id="rId649" tooltip="Géologue carrière et matériaux de construction" xr:uid="{DA3604CA-03FA-45DA-B948-4B94DF5D4BA7}"/>
    <hyperlink ref="C332" r:id="rId650" tooltip="[Métiers Carrières et Matériaux] Romain Laruaz, responsable de laboratoire" xr:uid="{9120E99E-2359-4731-9BD5-1F8210F57AAD}"/>
    <hyperlink ref="C333" r:id="rId651" tooltip="[Métiers Carrières et Matériaux] Stéphanie Pigeron, responsable développement matériaux" xr:uid="{C94986DF-C28B-42B3-ACBA-70E8F61FE841}"/>
    <hyperlink ref="C334" r:id="rId652" tooltip="[Métiers Carrières et Matériaux] Malik Briki, responsable d'exploitation" xr:uid="{4F5B0ECD-EED2-4BC7-A265-57D639A2BBA6}"/>
    <hyperlink ref="C335" r:id="rId653" tooltip="Tailleur de Pierre" xr:uid="{F2583BC4-C941-4881-92DF-BEFB0BC10115}"/>
    <hyperlink ref="C791" r:id="rId654" tooltip="Paroles de diplômé – Mathias FRANKO" xr:uid="{FDDFDFF8-3268-42F3-BB6C-466EB41026F9}"/>
    <hyperlink ref="C569" r:id="rId655" tooltip="Anne, professeure-documentaliste" xr:uid="{C5FA9019-F794-459D-A025-D67EED4AD6FD}"/>
    <hyperlink ref="C570" r:id="rId656" tooltip="Enseignant en biologie/écologie en lycée agricole" xr:uid="{8B781E80-392D-4286-992F-008D0E4F6391}"/>
    <hyperlink ref="C656" r:id="rId657" tooltip="Métiers de l'eau : technicien de rivière" xr:uid="{140E6F36-64BF-4648-8A0F-E9498B6D72F4}"/>
    <hyperlink ref="C222" r:id="rId658" tooltip="Me Anne-Sophie VARGUES, avocat associé intervenant en droit agroalimentaire" xr:uid="{FF53DB34-E36D-47B3-889D-3AA9CAE64CCB}"/>
    <hyperlink ref="C223" r:id="rId659" tooltip="Quentin, inspecteur à la DGCCRF, vous explique ses missions" xr:uid="{E8BBFE90-3105-42DB-A674-D02DDE364463}"/>
    <hyperlink ref="C571" r:id="rId660" tooltip="Le métier de PROFESSEUR DES ÉCOLES : formation, défis, rémunération" xr:uid="{BA4B88F8-E099-4FB7-AD13-68FFE5B229A9}"/>
    <hyperlink ref="C224" r:id="rId661" tooltip="Inspecteur à la DDPP" xr:uid="{43CADF6E-A89F-40BC-A02A-CDBEB9F185DB}"/>
    <hyperlink ref="C450" r:id="rId662" tooltip="Préparateur en pharmacie" xr:uid="{041A356B-F5B3-4F7E-818E-288BB4DF1DED}"/>
    <hyperlink ref="C359" r:id="rId663" tooltip="Technicien Supérieur de la Météorologie" xr:uid="{69B6A0FD-F84C-4805-84E8-BF671EA3A34B}"/>
    <hyperlink ref="C195" r:id="rId664" tooltip="Ingénieur Système d'Information | Mayeul Duval | Invivo" xr:uid="{7D2F1ABA-C007-493B-A18F-E0126AFA1F97}"/>
    <hyperlink ref="C794" r:id="rId665" tooltip="Ingénieur Système d'Information | Mayeul Duval | Invivo" xr:uid="{30645A83-A707-45DD-8C85-557859A2530B}"/>
    <hyperlink ref="C784" r:id="rId666" tooltip="Chargée de mission climat | Johanna Manteau | FNAB" xr:uid="{E497A19D-B8CF-4DBA-884B-A3C92ED03AFE}"/>
    <hyperlink ref="C165" r:id="rId667" tooltip="Gérante de Natur'alre | Agathe Le Bouedec | Elfen Cosmétique" xr:uid="{8BCC126E-D52E-4336-9D34-AD48638F74B8}"/>
    <hyperlink ref="C153" r:id="rId668" tooltip="Gérante de Natur'alre | Agathe Le Bouedec | Elfen Cosmétique" xr:uid="{8D721BD7-D25E-41E9-96E4-9AA2DC6B41A4}"/>
    <hyperlink ref="C648" r:id="rId669" tooltip="Chargée d'affaires et coordinatrice | Catherine Steenkiste | AS développement" xr:uid="{BB5E96FE-BD0D-46C0-907D-02D805D4126F}"/>
    <hyperlink ref="C789" r:id="rId670" tooltip="Conseiller agro-environnement et eau | Lucas Vergé | Chambre d'agriculture" xr:uid="{C561ECCE-BD2F-4BCE-BD1C-F4BB21197637}"/>
    <hyperlink ref="C654" r:id="rId671" tooltip="Conseiller agro-environnement et eau | Lucas Vergé | Chambre d'agriculture" xr:uid="{65BE0E9F-9CA2-4B8D-BA69-F622AD1AEB88}"/>
    <hyperlink ref="C805" r:id="rId672" tooltip="Responsable viticole | Pauline Comin | Château Quintus" xr:uid="{C836CCB2-4AAF-4BE2-AF46-8CCDD42965EF}"/>
    <hyperlink ref="C670" r:id="rId673" tooltip="Responsable viticole | Pauline Comin | Château Quintus" xr:uid="{80EEDE76-6466-499C-9A85-6D37D7D3BBAB}"/>
    <hyperlink ref="C843" r:id="rId674" tooltip="Investment and forest manager officer | Timothé Lamboi | France Valley" xr:uid="{97F9B91A-6637-4165-A674-2AFA90868B3D}"/>
    <hyperlink ref="C262" r:id="rId675" tooltip="Investment and forest manager officer | Timothé Lamboi | France Valley" xr:uid="{99E2AE0B-DC29-40E3-9249-352276C7B058}"/>
    <hyperlink ref="C264" r:id="rId676" tooltip="Consultante en financement de la transition | Jeanne Collard | KPMG Avocats" xr:uid="{AAE88052-B0CE-45D3-B63F-9F76A8F6BA64}"/>
    <hyperlink ref="C649" r:id="rId677" tooltip="Cheffe de projet | Laure Gosselin | Corsica Sole" xr:uid="{6F278F0B-F450-450D-8F41-DBB880A298FE}"/>
    <hyperlink ref="C788" r:id="rId678" tooltip="Cheffe de projet | Laure Gosselin | Corsica Sole" xr:uid="{3658D77B-2768-43A8-9E1B-D3ED8A644608}"/>
    <hyperlink ref="C31" r:id="rId679" tooltip="Chargée d'études biodiversité | Noémie Bataille | Institut de l'élevage" xr:uid="{EDAA61EC-D5F6-4BF8-BEE8-F97EC6900775}"/>
    <hyperlink ref="C786" r:id="rId680" tooltip="Chargée d'études biodiversité | Noémie Bataille | Institut de l'élevage" xr:uid="{39B25BB2-84C3-490A-9785-A501A06B0EEB}"/>
    <hyperlink ref="C196" r:id="rId681" tooltip="Chef de projet | Dorian Châtellier | Telespazio" xr:uid="{738EF699-65C9-41C9-B275-F04E7CA35879}"/>
    <hyperlink ref="C827" r:id="rId682" tooltip="Chef de projet | Dorian Châtellier | Telespazio" xr:uid="{1936645B-047B-4234-93CB-A32C047471B1}"/>
    <hyperlink ref="C647" r:id="rId683" tooltip="Agronome | Eva Fournier | ABO Energy" xr:uid="{1A68C7D3-241D-4673-B6FA-F31950EC0E38}"/>
    <hyperlink ref="C780" r:id="rId684" tooltip="Agronome | Eva Fournier | ABO Energy" xr:uid="{0328FB1E-ACC6-4FB7-AA6B-2EEB633AAF5F}"/>
    <hyperlink ref="C661" r:id="rId685" tooltip="Co-fondateur | Mattin Eppherre | Bihur" xr:uid="{60EEDE66-46BA-4247-BFBA-55A665B9C01D}"/>
    <hyperlink ref="C575" r:id="rId686" tooltip="Chargée d'études environnementales | Emma Dupuis | Artelia" xr:uid="{D883C363-E8E8-4324-8913-8D4A464BF68D}"/>
    <hyperlink ref="C723" r:id="rId687" tooltip="Le métier de Médecin en Médecine Physique et Réadaptation (MPR)" xr:uid="{D50D25C5-B905-4A3A-B08E-0473BA2105CD}"/>
    <hyperlink ref="C718" r:id="rId688" tooltip="Quel parcours pour être médecin du sport ?" xr:uid="{D212ABFA-0E21-4E24-A2F8-A5B670EBA15D}"/>
    <hyperlink ref="C682" r:id="rId689" tooltip="Quel parcours pour être médecin du sport ?" xr:uid="{A9F73C8A-8C17-4FD9-874D-6BF3EF320CDA}"/>
    <hyperlink ref="C683" r:id="rId690" tooltip="Myriam Paquette, Ph.D, physiologiste de l'exercice" xr:uid="{1ADA2A8B-3A98-40DA-8563-76C7E47C90AF}"/>
    <hyperlink ref="C684" r:id="rId691" tooltip="Découvrir le Métier de Podologue avec Benjamin, Podologue du sport" xr:uid="{C96D157D-91A2-4FB0-B69D-AEFDBF930838}"/>
    <hyperlink ref="C754" r:id="rId692" tooltip="Le métier de Podo-orthésiste" xr:uid="{03EC9D7D-D6CE-4B23-A16C-EE12FAF10AC7}"/>
    <hyperlink ref="C755" r:id="rId693" tooltip="Découvrir le Métier de Podologue avec Benjamin, Podologue du sport" xr:uid="{B7E7553E-C349-41A4-8795-3AEF78E89988}"/>
    <hyperlink ref="D695" r:id="rId694" tooltip="Reportage métier APA Handisport | Webserie FNPSL" xr:uid="{7D01F328-FEBA-407F-938A-8506DD937D59}"/>
    <hyperlink ref="C704" r:id="rId695" tooltip="De STAPS à l'enseignement : le parcours de Clément, prof d'EPS" xr:uid="{45935749-9EF3-4068-AA74-3F7E1014267E}"/>
    <hyperlink ref="C572" r:id="rId696" tooltip="De STAPS à l'enseignement : le parcours de Clément, prof d'EPS" xr:uid="{29A384D3-8D49-4822-B52E-AB22331B4138}"/>
    <hyperlink ref="C296" r:id="rId697" tooltip="C'est quoi un glaciologue ? | Lucas" xr:uid="{A7ECA821-2F0C-4E00-8834-F0EFB81A4FFB}"/>
    <hyperlink ref="C293" r:id="rId698" tooltip="Stéphanie Durand, la sismologie innovante | Talents CNRS" xr:uid="{D091224A-2CD7-44EA-8FA0-4A519AC32AAB}"/>
    <hyperlink ref="C339" r:id="rId699" tooltip="Charles Perrin, prévision des débits des rivières" xr:uid="{EAC25E53-7D86-425E-B02B-ADFD0CE48656}"/>
    <hyperlink ref="C340" r:id="rId700" tooltip="Vigicrues : le métier de prévisionniste | Seine aval-Côtiers Normands" xr:uid="{832BA80E-D376-49AF-A647-2AB312CC814D}"/>
    <hyperlink ref="C341" r:id="rId701" tooltip="Mieux prédire et gérer les crues torrentielles | Guillaume" xr:uid="{5756937A-268F-434C-88CD-95FAB7BFDE57}"/>
    <hyperlink ref="C844" r:id="rId702" tooltip="Restauration des terrains en montagne : l'ONF en mission contre les avalanches" xr:uid="{2234CD3B-4E68-44F4-B93B-E5C320200D0B}"/>
    <hyperlink ref="C576" r:id="rId703" tooltip="La Gestion Intégrée des Risques Naturels dans les Alpes | PARN 2020" xr:uid="{19C863F3-8633-4253-8AA2-9457DBED78CA}"/>
    <hyperlink ref="C577" r:id="rId704" tooltip="Focus métier CTM | Chargé de mission valorisation ENS et bien UNESCO | Jared Gjada" xr:uid="{B17C2224-8F96-499A-9ED6-EAAC5D9D022E}"/>
    <hyperlink ref="C581" r:id="rId705" tooltip="Les métiers du Parc national de la Guadeloupe | Chargé d'entretien des espaces naturels" xr:uid="{5B7B18BD-3A55-41F4-9651-478178DE4167}"/>
    <hyperlink ref="C299" r:id="rId706" tooltip="Les satellites au service de la société | Nathalie Stephenne" xr:uid="{124EFB29-C884-4A38-A4E2-883E68F4BC0C}"/>
    <hyperlink ref="C10" r:id="rId707" tooltip="Christelle Hureau, chercheuse en chimie bio inorganique | Talents CNRS" xr:uid="{C413C8C4-6B5B-4EB4-ABA6-F8A0C4BAE263}"/>
    <hyperlink ref="C375" r:id="rId708" tooltip="Christelle Hureau, chercheuse en chimie bio inorganique | Talents CNRS" xr:uid="{49F420C4-B27F-4102-83C8-44727329AC34}"/>
    <hyperlink ref="C561" r:id="rId709" tooltip="Ali Maziz, chercheur en neuro-ingénierie | Talents CNRS" xr:uid="{7CA8C58E-6196-455A-B5CC-0361F38F44F9}"/>
    <hyperlink ref="C376" r:id="rId710" tooltip="Ali Maziz, chercheur en neuro-ingénierie | Talents CNRS" xr:uid="{35AC04AF-75C0-4328-B860-87908FA9C231}"/>
    <hyperlink ref="C284" r:id="rId711" tooltip="Edith Heard, le fer de lance de l'épigénétique | Talents CNRS" xr:uid="{EE31630C-C376-4B5C-9E5E-0E83480639AE}"/>
    <hyperlink ref="C100" r:id="rId712" tooltip="Edith Heard, le fer de lance de l'épigénétique | Talents CNRS" xr:uid="{735E597A-D85B-4EB0-B2CD-7F93C3766E71}"/>
    <hyperlink ref="C101" r:id="rId713" tooltip="Eric Cascales, chercheur en microbiologie | Talents CNRS" xr:uid="{454A4A6A-3D33-40B9-9A8A-2AC9E2DDDDBE}"/>
    <hyperlink ref="C72" r:id="rId714" tooltip="Eric Cascales, chercheur en microbiologie | Talents CNRS" xr:uid="{01030239-B210-486B-B550-6A1586618E09}"/>
    <hyperlink ref="C532" r:id="rId715" tooltip="Estelle Herrscher, bioarchéologie : l'alimentation au Néolithique | Talents CNRS" xr:uid="{653CA6CA-E118-48D5-B2F0-1342823B1DDE}"/>
    <hyperlink ref="C415" r:id="rId716" tooltip="Johan Decelle, la photosymbiose en milieu aquatique | Talents CNRS" xr:uid="{53354758-1541-4655-A0B0-3EB386A32BC6}"/>
    <hyperlink ref="C73" r:id="rId717" tooltip="Johan Decelle, la photosymbiose en milieu aquatique | Talents CNRS" xr:uid="{3445B46A-6DAF-4542-9FBB-06CD3BCFD27D}"/>
    <hyperlink ref="C310" r:id="rId718" tooltip="Florence Magnin, cartographe du permafrost | Talents CNRS" xr:uid="{0419F4B2-EDB2-4E9B-BD2A-09CAD006E1ED}"/>
    <hyperlink ref="C102" r:id="rId719" tooltip="Rebekka Wild, spécialiste de la biosynthèse des glycosaminoglycanes | Talents CNRS" xr:uid="{95924E52-11A5-4892-87D5-60673B99ABF5}"/>
    <hyperlink ref="C11" r:id="rId720" tooltip="Rebekka Wild, spécialiste de la biosynthèse des glycosaminoglycanes | Talents CNRS" xr:uid="{45EE55DD-0591-4279-AD37-B3FA24636410}"/>
    <hyperlink ref="C311" r:id="rId721" tooltip="Kristel Chanard, les déformations non tectoniques de la Terre | Talents CNRS" xr:uid="{4C032DBA-9873-4708-AFB3-1019538E622B}"/>
    <hyperlink ref="C470" r:id="rId722" tooltip="François Leulier, du microbiote aux mécanismes de croissance | Talents CNRS" xr:uid="{E341F7EC-B475-4DD7-9152-CF959EBF0F4D}"/>
    <hyperlink ref="C74" r:id="rId723" tooltip="François Leulier, du microbiote aux mécanismes de croissance | Talents CNRS" xr:uid="{5850333C-E7B1-4143-94E4-1AD3D6A4F25B}"/>
    <hyperlink ref="C623" r:id="rId724" tooltip="Soraya Boudia : science, société et politiques, des liens indissociables ? | Talents CNRS" xr:uid="{5A973866-7631-4BF3-9B2A-30D334536AD5}"/>
    <hyperlink ref="C237" r:id="rId725" tooltip="Soraya Boudia : science, société et politiques, des liens indissociables ? | Talents CNRS" xr:uid="{08874C89-2776-4A4A-BB3A-750262C76F18}"/>
    <hyperlink ref="C533" r:id="rId726" tooltip="Lucie Etienne : décryptage des épidémies virales et des défenses immunitaires | Talents CNRS" xr:uid="{94F94304-5508-4A7B-9D22-B44F2D90088A}"/>
    <hyperlink ref="C238" r:id="rId727" tooltip="Lucie Etienne : décryptage des épidémies virales et des défenses immunitaires | Talents CNRS" xr:uid="{BC10730A-A638-40C8-9C1F-8B9F3C081F63}"/>
    <hyperlink ref="C103" r:id="rId728" tooltip="Lucie Etienne : décryptage des épidémies virales et des défenses immunitaires | Talents CNRS" xr:uid="{04997FDF-6C1D-4EF0-A53D-FA451FC28EEA}"/>
    <hyperlink ref="C562" r:id="rId729" tooltip="Virginie Dumas : la tribologie au service des biomatériaux | Talents CNRS" xr:uid="{F714BB59-8A1A-400B-BF20-2836787C4A65}"/>
    <hyperlink ref="C75" r:id="rId730" tooltip="Virginie Dumas : la tribologie au service des biomatériaux | Talents CNRS" xr:uid="{E7027DC7-C000-4E6F-883D-1959B6927D70}"/>
    <hyperlink ref="C141" r:id="rId731" tooltip="Karine Monier, nanoscopie et biologie pour une meilleure compréhension des cellules | Talents CNRS" xr:uid="{64CAF736-2DCF-42CB-9DCB-BE1E88CEF333}"/>
    <hyperlink ref="C76" r:id="rId732" tooltip="Karine Monier, nanoscopie et biologie pour une meilleure compréhension des cellules | Talents CNRS" xr:uid="{45BE4D5D-60E4-4A91-A239-BE4680A307EE}"/>
    <hyperlink ref="C662" r:id="rId733" tooltip="Thomas Beneyton, la microfluidique au service de l'innovation biotechnologique | Talents CNRS" xr:uid="{053B6793-D36A-4DAA-9484-F26FB544376B}"/>
    <hyperlink ref="C142" r:id="rId734" tooltip="Thomas Beneyton, la microfluidique au service de l'innovation biotechnologique | Talents CNRS" xr:uid="{3394D938-BB2A-4BCE-BF53-40E3B659F016}"/>
    <hyperlink ref="C48" r:id="rId735" tooltip="Lauriane Mouysset, une approche interdisciplinaire de la crise écologique | Talents CNRS" xr:uid="{DAFA4228-A8D4-47C0-9D8A-E737C365EFFD}"/>
    <hyperlink ref="C446" r:id="rId736" tooltip="Chimie et cancer : Raphaël Rodriguez traque le rôle du fer et du cuivre | Talents CNRS" xr:uid="{2FC9060D-3BDB-418C-A09E-D7D45F08C200}"/>
    <hyperlink ref="C12" r:id="rId737" tooltip="Chimie et cancer : Raphaël Rodriguez traque le rôle du fer et du cuivre | Talents CNRS" xr:uid="{E783AE10-79C7-4F54-857B-60B4C2FFF87F}"/>
    <hyperlink ref="C822" r:id="rId738" tooltip="Audrey Creff, la mécanique de la graine : une avancée dans les sciences végétales | Talents CNRS" xr:uid="{CD0B7193-832C-4C78-90BE-85A9A4EF19F8}"/>
    <hyperlink ref="C112" r:id="rId739" tooltip="Audrey Creff, la mécanique de la graine : une avancée dans les sciences végétales | Talents CNRS" xr:uid="{B1899A84-23D4-4A50-B131-339DB0056E3B}"/>
    <hyperlink ref="C285" r:id="rId740" tooltip="Renata Basto décrypte l'impact des centrosomes sur le cancer des ovaires | Talents CNRS" xr:uid="{F2E9B849-D0AC-421C-9BE4-F6FBD2BB7279}"/>
    <hyperlink ref="C77" r:id="rId741" tooltip="Renata Basto décrypte l'impact des centrosomes sur le cancer des ovaires | Talents CNRS" xr:uid="{2F4B19F9-139F-4FEB-B4B5-2280B61E2E83}"/>
    <hyperlink ref="C377" r:id="rId742" tooltip="Marie-Charline Blatché : la révolution des neurones sur puce | Talents CNRS" xr:uid="{E31E21EA-F3CC-404D-A0D1-6FFC737060B6}"/>
    <hyperlink ref="C78" r:id="rId743" tooltip="Marie-Charline Blatché : la révolution des neurones sur puce | Talents CNRS" xr:uid="{9C4A3249-1D58-417E-A41D-A53803B591DB}"/>
    <hyperlink ref="C83" r:id="rId744" tooltip="Bastien Gerby — cellules souches leucémiques (Talents CNRS)" xr:uid="{B965D2CE-46A4-41D7-9655-28E6F9EBF5FF}"/>
    <hyperlink ref="D204" r:id="rId745" tooltip="Émilie Lerigoleur Balsemin — géomatique et science ouverte (Talents CNRS)" xr:uid="{091C5B9F-FCAF-490E-8E15-7E9969383BE5}"/>
    <hyperlink ref="C361" r:id="rId746" tooltip="Juan Escobar Muñoz — calcul intensif et simulation atmosphérique (Talents CNRS)" xr:uid="{EDB06305-9453-4DD2-99BE-725245636262}"/>
    <hyperlink ref="C210" r:id="rId747" tooltip="Juan Escobar Muñoz — calcul intensif et simulation atmosphérique (Talents CNRS)" xr:uid="{8F3B9973-CF69-40BB-AD88-5243F301471D}"/>
    <hyperlink ref="C462" r:id="rId748" tooltip="Alain Wagner — la chimie au service du vivant (CNRS)" xr:uid="{03C28407-9621-4BC4-9EA6-30C175EE16F2}"/>
    <hyperlink ref="C16" r:id="rId749" tooltip="Alain Wagner — la chimie au service du vivant (CNRS)" xr:uid="{2E5BC9E1-5925-497E-8DEA-98939718650D}"/>
    <hyperlink ref="C385" r:id="rId750" tooltip="Aziz Moqrich — percer les secrets de la douleur chronique (CNRS)" xr:uid="{09DC8FF8-6FAD-412E-A93C-7727D92F9EDD}"/>
    <hyperlink ref="C463" r:id="rId751" tooltip="Aziz Moqrich — percer les secrets de la douleur chronique (CNRS)" xr:uid="{42287C2A-3086-4987-8E11-026F1D978308}"/>
    <hyperlink ref="C471" r:id="rId752" tooltip="Serge Luquet — physiologie du métabolisme et des comportements alimentaires (Talents CNRS)" xr:uid="{7269611A-D2E0-490A-A632-4DE4E923DD32}"/>
    <hyperlink ref="C386" r:id="rId753" tooltip="Serge Luquet — physiologie du métabolisme et des comportements alimentaires (Talents CNRS)" xr:uid="{381A981F-C8E8-4652-944F-DB559B5ED7FD}"/>
    <hyperlink ref="C84" r:id="rId754" tooltip="Alexandra Colin — exploratrice des dynamiques du vivant (Talents CNRS)" xr:uid="{7CCE925D-9C13-4909-BE4F-3D19D79E3C77}"/>
    <hyperlink ref="C497" r:id="rId755" tooltip="Louise Goupil — comprendre l'apprentissage à hauteur d'enfant (Talents CNRS)" xr:uid="{F8BF9B11-C31C-4311-B2B1-449E42876439}"/>
    <hyperlink ref="C387" r:id="rId756" tooltip="Louise Goupil — comprendre l'apprentissage à hauteur d'enfant (Talents CNRS)" xr:uid="{33BF9F68-7810-4C8B-8C05-4B9FE9DC5B23}"/>
    <hyperlink ref="C17" r:id="rId757" tooltip="Alicia Vallet — experte en RMN (Talents CNRS)" xr:uid="{20AFD0C5-D9A4-4E31-B687-2F06B693C9D9}"/>
    <hyperlink ref="C143" r:id="rId758" tooltip="Lionel Imbert — l'expression acellulaire pour la biologie structurale (Talents CNRS)" xr:uid="{3A822686-7637-46E8-B355-87588E26F64F}"/>
    <hyperlink ref="C18" r:id="rId759" tooltip="Lionel Imbert — l'expression acellulaire pour la biologie structurale (Talents CNRS)" xr:uid="{1DE609F9-554A-4C1A-855C-9414E3D886A9}"/>
    <hyperlink ref="C464" r:id="rId760" tooltip="Stéphanie Durand-Panteix — des thérapies innovantes contre le cancer (Talents CNRS)" xr:uid="{10DFB7F6-9B07-42B2-8823-F83D7F898216}"/>
    <hyperlink ref="C85" r:id="rId761" tooltip="Stéphanie Durand-Panteix — des thérapies innovantes contre le cancer (Talents CNRS)" xr:uid="{851168E4-B2A8-4649-90BB-3C36A15CA92D}"/>
    <hyperlink ref="C440" r:id="rId762" tooltip="François Fourel — les isotopes pour reconstituer les environnements passés (Talents CNRS)" xr:uid="{EE03CDAB-D9DA-4993-A812-E0164537B7F5}"/>
    <hyperlink ref="C312" r:id="rId763" tooltip="François Fourel — les isotopes pour reconstituer les environnements passés (Talents CNRS)" xr:uid="{DE1CD226-E85A-473B-8B08-5484A3A45EA9}"/>
    <hyperlink ref="C115" r:id="rId764" tooltip="Gwyneth Ingram — les mécanismes cachés de la formation des graines (Talents CNRS)" xr:uid="{57C490AF-EF6B-4DEF-B9BC-B4F9B3E64294}"/>
    <hyperlink ref="C286" r:id="rId765" tooltip="Heïdi Serra — décrypter la génétique des plantes hybrides (Talents CNRS)" xr:uid="{59E774CB-6CF7-49D5-BA44-0FA90747063B}"/>
    <hyperlink ref="C116" r:id="rId766" tooltip="Heïdi Serra — décrypter la génétique des plantes hybrides (Talents CNRS)" xr:uid="{7E0AEC23-9B67-4A88-AACE-EB3259299897}"/>
    <hyperlink ref="C144" r:id="rId767" tooltip="Guillaume Gines, le codage sur ADN | Talents CNRS" xr:uid="{676A3320-4B37-4F0C-9E19-7A86C8DF0A6E}"/>
    <hyperlink ref="C104" r:id="rId768" tooltip="Guillaume Gines, le codage sur ADN | Talents CNRS" xr:uid="{04121A59-E8F3-40A9-A477-5101BFD2568C}"/>
    <hyperlink ref="C65" r:id="rId769" tooltip="Guillaume Gines, le codage sur ADN | Talents CNRS" xr:uid="{FE99F46E-0134-474C-8A40-96BE4DE1207F}"/>
    <hyperlink ref="C388" r:id="rId770" tooltip="Nicolas Jullien, concevoir des outils de recherche innovants en biologie | Talents CNRS" xr:uid="{A00459CF-2419-4942-9A11-C9F54B6F6958}"/>
    <hyperlink ref="C105" r:id="rId771" tooltip="Nicolas Jullien, concevoir des outils de recherche innovants en biologie | Talents CNRS" xr:uid="{83BA4321-17B2-41A6-B757-3A1848302DAA}"/>
    <hyperlink ref="C86" r:id="rId772" tooltip="Nicolas Jullien, concevoir des outils de recherche innovants en biologie | Talents CNRS" xr:uid="{7981F626-0AD7-4157-8761-492F706CFC23}"/>
    <hyperlink ref="C424" r:id="rId773" tooltip="Clémence Rose, étudier les aérosols pour comprendre le climat | Talents CNRS" xr:uid="{CC776DA0-5EF5-4906-83F7-BECDBB76CCA8}"/>
    <hyperlink ref="C362" r:id="rId774" tooltip="Clémence Rose, étudier les aérosols pour comprendre le climat | Talents CNRS" xr:uid="{FAF0E351-78B2-4AC1-8498-435160EFC965}"/>
    <hyperlink ref="C313" r:id="rId775" tooltip="Clémence Rose, étudier les aérosols pour comprendre le climat | Talents CNRS" xr:uid="{15DDDDF4-B1CB-4BF6-A119-424205400370}"/>
    <hyperlink ref="C106" r:id="rId776" tooltip="Carine Tisné, percer les mystères des ARN | Talents CNRS" xr:uid="{1044677D-C3B0-4BF0-9B45-125C3ADB23EE}"/>
    <hyperlink ref="C19" r:id="rId777" tooltip="Carine Tisné, percer les mystères des ARN | Talents CNRS" xr:uid="{72621FCC-8487-4C25-9971-7748CDF89FE3}"/>
    <hyperlink ref="C287" r:id="rId778" tooltip="Carine Tisné, percer les mystères des ARN | Talents CNRS" xr:uid="{F6EA08F9-0CE1-4B3B-ADAE-900D7266480D}"/>
    <hyperlink ref="C534" r:id="rId779" tooltip="Laure Ségurel, ADN et microbiote face à l'environnement | Talents CNRS" xr:uid="{DE7CFAEB-7BBD-4A3A-9CFB-5E37DF3C854E}"/>
    <hyperlink ref="C288" r:id="rId780" tooltip="Laure Ségurel, ADN et microbiote face à l'environnement | Talents CNRS" xr:uid="{DBE34DC4-3E8A-4504-A14B-E4074FE99EB1}"/>
    <hyperlink ref="C52" r:id="rId781" tooltip="Laure Ségurel, ADN et microbiote face à l'environnement | Talents CNRS" xr:uid="{1F0B3064-9AB9-4170-87CF-626CE38AFBD3}"/>
    <hyperlink ref="C663" r:id="rId782" tooltip="Patrick Chardon, mesurer la radioactivité pour protéger l'environnement | Talents CNRS" xr:uid="{074B3EE5-BD3C-44C8-9779-30893BF2F67C}"/>
    <hyperlink ref="C624" r:id="rId783" tooltip="Patrick Chardon, mesurer la radioactivité pour protéger l'environnement | Talents CNRS" xr:uid="{64AB2D25-5DDA-4CDD-A661-2E6420F8E6EF}"/>
    <hyperlink ref="C425" r:id="rId784" tooltip="Patrick Chardon, mesurer la radioactivité pour protéger l'environnement | Talents CNRS" xr:uid="{DC2339CC-E84E-4FB5-A913-3CD7FB3EF444}"/>
    <hyperlink ref="C389" r:id="rId785" tooltip="Antoine Coutrot, un jeu vidéo pour détecter Alzheimer | Talents CNRS" xr:uid="{FF760140-A4C6-4363-A519-7FB8BEC972C5}"/>
    <hyperlink ref="C211" r:id="rId786" tooltip="Antoine Coutrot, un jeu vidéo pour détecter Alzheimer | Talents CNRS" xr:uid="{156CF449-725C-45EE-91C1-1CFFFC15776A}"/>
    <hyperlink ref="C87" r:id="rId787" tooltip="Julien Robert-Paganin, décodeur des moteurs de la vie | Talents CNRS" xr:uid="{B3EF5379-DB36-4DD4-A6D9-5ACFD4EE78CC}"/>
    <hyperlink ref="C20" r:id="rId788" tooltip="Julien Robert-Paganin, décodeur des moteurs de la vie | Talents CNRS" xr:uid="{803E2ADA-CCDC-44C0-AD93-1BE21DD34E57}"/>
    <hyperlink ref="C472" r:id="rId789" tooltip="Achille Broggi, décoder les mécanismes de l'immunité innée | Talents CNRS" xr:uid="{D4C2A076-0D92-43DC-8046-EB961371F0B3}"/>
    <hyperlink ref="C88" r:id="rId790" tooltip="Achille Broggi, décoder les mécanismes de l'immunité innée | Talents CNRS" xr:uid="{FF22B093-5816-4478-A2AB-4AB2D11C1138}"/>
    <hyperlink ref="C390" r:id="rId791" tooltip="Aurélie Tchoghandjian, cibler les gliomes avec précision | Talents CNRS" xr:uid="{691C50F8-2D9A-4108-BC53-F6C23B494D9A}"/>
    <hyperlink ref="C89" r:id="rId792" tooltip="Aurélie Tchoghandjian, cibler les gliomes avec précision | Talents CNRS" xr:uid="{4DCD5CDD-2387-4B70-A015-AF3F8B5B0EFB}"/>
    <hyperlink ref="C473" r:id="rId793" tooltip="Rémi Bos, révéler la dynamique neurogliale du système nerveux | Talents CNRS" xr:uid="{C42AB750-EC37-49EF-AAED-0B769F960CBC}"/>
    <hyperlink ref="C391" r:id="rId794" tooltip="Rémi Bos, révéler la dynamique neurogliale du système nerveux | Talents CNRS" xr:uid="{38C8EFDF-458F-4EB9-862E-517C09278878}"/>
    <hyperlink ref="C145" r:id="rId795" tooltip="Sham Tlili, décrypter les lois physiques de la formation des tissus | Talents CNRS" xr:uid="{0DFE72CC-034E-4A90-8B5B-6ACAAD127216}"/>
    <hyperlink ref="C90" r:id="rId796" tooltip="Sham Tlili, décrypter les lois physiques de la formation des tissus | Talents CNRS" xr:uid="{A73774FB-A184-4E08-B2C1-2893871CD59F}"/>
    <hyperlink ref="C146" r:id="rId797" tooltip="Laurent Loiseau, explorer les mécanismes microbiens | Talents CNRS" xr:uid="{17F84BDF-84F5-41B6-A399-6D2A710B3AE5}"/>
    <hyperlink ref="C91" r:id="rId798" tooltip="Laurent Loiseau, explorer les mécanismes microbiens | Talents CNRS" xr:uid="{7B3EF596-8D19-4AB8-BB5D-75EF9AADC9E9}"/>
    <hyperlink ref="C147" r:id="rId799" tooltip="Nicolas Martin, recréer la vie en laboratoire grâce aux coacervats | Talents CNRS" xr:uid="{49C17BA4-9A88-43A0-88C4-B5BB88134605}"/>
    <hyperlink ref="C21" r:id="rId800" tooltip="Nicolas Martin, recréer la vie en laboratoire grâce aux coacervats | Talents CNRS" xr:uid="{3450B10F-D2AE-40EF-BB1C-A6F54FD99497}"/>
    <hyperlink ref="C169" r:id="rId801" tooltip="Le parfum. Des métiers. Une passion — Saison 2, épisode 1 : Takasago" xr:uid="{12A14B18-CE99-4B39-A859-4B8814A01951}"/>
    <hyperlink ref="C170" r:id="rId802" tooltip="Jérémy Caparros Tomé — opérateur de production extraction" xr:uid="{207A1E1C-1548-4400-A7A4-2D4EEDB869D3}"/>
    <hyperlink ref="C171" r:id="rId803" tooltip="Amaury Malet — chef de production" xr:uid="{69556225-F863-4B47-8973-4FA8FB558BCE}"/>
    <hyperlink ref="C172" r:id="rId804" tooltip="Omar Oulalit — chef de production distillation" xr:uid="{21725205-55C2-4CCC-8A40-DE1E4440B479}"/>
    <hyperlink ref="C173" r:id="rId805" tooltip="Jean-David Macé — chef d'équipe production parfumerie" xr:uid="{1120699D-D45F-4BDF-A719-09887879F748}"/>
    <hyperlink ref="C174" r:id="rId806" tooltip="Edwin Cukrowski — référent production arôme" xr:uid="{FA88A95D-395A-4E73-A7ED-E03C85895E2D}"/>
    <hyperlink ref="C175" r:id="rId807" tooltip="Geoffroy Dorian — préparateur parfumerie" xr:uid="{1CCDCE2E-643A-4820-A85C-68C360309851}"/>
    <hyperlink ref="C176" r:id="rId808" tooltip="Camille Dumas — technicien·ne contrôle qualité" xr:uid="{FAD0F5BA-E840-434A-984B-DC89C645EA6C}"/>
    <hyperlink ref="C177" r:id="rId809" tooltip="Marie Lepez — chargée de mission QHSE" xr:uid="{C5D97358-543D-4227-BD61-6003A55EDF27}"/>
    <hyperlink ref="C904" r:id="rId810" tooltip="Thérèse Boubert — technicienne application arômes" xr:uid="{A892EB34-6A54-4532-807F-BD5F9917C8B7}"/>
    <hyperlink ref="C178" r:id="rId811" tooltip="Thérèse Boubert — technicienne application arômes" xr:uid="{C8D3CEFC-644D-4EFB-87CE-4F1EB6631721}"/>
    <hyperlink ref="C179" r:id="rId812" tooltip="Souleymane Ba — assistant·e parfumeur / aromaticien·ne" xr:uid="{89096BDF-C4FF-4697-A14C-6E5E1045AB4B}"/>
    <hyperlink ref="C180" r:id="rId813" tooltip="Sandra Jousseaume — technicienne extraction R&amp;D" xr:uid="{77662F6A-ECE4-41C5-8110-FCE118CF4476}"/>
    <hyperlink ref="C181" r:id="rId814" tooltip="Alice Lavenat — parfumeur·se" xr:uid="{160A2EAF-9B8D-4727-A843-7CAF3CB5D8AF}"/>
    <hyperlink ref="C182" r:id="rId815" tooltip="Olivier Coli — responsable du laboratoire applications" xr:uid="{66294C3E-605C-460D-AC74-DF2DC046EEB8}"/>
    <hyperlink ref="C166" r:id="rId816" tooltip="Olivier Coli — responsable du laboratoire applications" xr:uid="{5D0148D4-83E3-429E-A758-952552AE77F6}"/>
    <hyperlink ref="C183" r:id="rId817" tooltip="Solène Monier — responsable évaluation" xr:uid="{85C6828D-DFB5-4955-BAED-B3CAB17CE944}"/>
    <hyperlink ref="C184" r:id="rId818" tooltip="Le parfum. Des métiers. Une passion — Saison 2, épisode 6 : Givaudan" xr:uid="{A4677D42-D0D2-4FAE-8B88-F22E59C20ACC}"/>
    <hyperlink ref="D179" r:id="rId819" tooltip="Le parfum, des métiers, une passion — S2E1 : Givaudan" xr:uid="{00AD3D34-6034-4077-AFC4-267D1DE5FEDF}"/>
    <hyperlink ref="D181" r:id="rId820" tooltip="Le parfum, des métiers, une passion — S2E1 : Givaudan" xr:uid="{40560987-34BD-4B66-B2B0-E08D80B3A096}"/>
    <hyperlink ref="C185" r:id="rId821" tooltip="Le parfum, des métiers, une passion — S3E7 : IFF" xr:uid="{7D72B790-BCAE-42CC-BFE4-8B82AD97398A}"/>
    <hyperlink ref="C186" r:id="rId822" tooltip="Le parfum, des métiers, une passion — S3E7 : IFF" xr:uid="{ABF550DA-3544-47A1-8D2A-04EE0B09E5BB}"/>
    <hyperlink ref="C905" r:id="rId823" tooltip="2 minutes avec Alexandre, aromaticien" xr:uid="{C35524DA-6010-43FF-A1BC-224C2E7CF61B}"/>
    <hyperlink ref="C187" r:id="rId824" tooltip="2 minutes avec Alexandre, aromaticien" xr:uid="{31CF052E-1625-4516-B6B6-DA98F43BF4A6}"/>
    <hyperlink ref="C625" r:id="rId825" tooltip="Le métier d'Anne : responsable des affaires réglementaires" xr:uid="{4E9FB0F0-52AF-4E95-A0F5-982046B5582E}"/>
    <hyperlink ref="C511" r:id="rId826" tooltip="Le métier d'Anne : responsable des affaires réglementaires" xr:uid="{4510FA44-F6C9-4EE4-A6E9-85A58915D7BC}"/>
    <hyperlink ref="C225" r:id="rId827" tooltip="Le métier d'Anne : responsable des affaires réglementaires" xr:uid="{C62412E3-C3D4-4F24-913A-28E27B2B788C}"/>
    <hyperlink ref="C796" r:id="rId828" tooltip="Découverte du métier de producteur de fleurs à parfum" xr:uid="{85EE8717-A814-4FB9-BA63-DDB6AFF11F79}"/>
    <hyperlink ref="C188" r:id="rId829" tooltip="Découverte du métier de producteur de fleurs à parfum" xr:uid="{F01005C1-3CAA-433D-8F85-BCFE2CE90D6F}"/>
    <hyperlink ref="C919" r:id="rId830" tooltip="Animateur·rice de panel d'analyse sensorielle" xr:uid="{A9803107-D2C7-4BBE-921F-B43390E4450B}"/>
    <hyperlink ref="C906" r:id="rId831" tooltip="Animateur·rice de panel d'analyse sensorielle" xr:uid="{F48CB252-3404-4BBD-8D95-D752CDF204A2}"/>
    <hyperlink ref="C189" r:id="rId832" tooltip="Animateur·rice de panel d'analyse sensorielle" xr:uid="{0D074A37-27FD-4BFC-94A2-EB1FA55FDAB6}"/>
    <hyperlink ref="C797" r:id="rId833" tooltip="Témoignage PPAM — filière plantes à parfum, aromatiques et médicinales (Sival 2024)" xr:uid="{3DA40448-DDA2-4714-95F6-001EFDCA63F0}"/>
    <hyperlink ref="C190" r:id="rId834" tooltip="Témoignage PPAM — filière plantes à parfum, aromatiques et médicinales (Sival 2024)" xr:uid="{D8836C84-7029-46F6-A102-3BA73F83B512}"/>
    <hyperlink ref="C191" r:id="rId835" tooltip="Stéphane Piquart — sourceur en parfumerie" xr:uid="{67908C11-7552-4F06-91B6-B4B4B3C79EF5}"/>
  </hyperlinks>
  <printOptions horizontalCentered="1"/>
  <pageMargins left="0.25" right="0.25" top="0.5" bottom="0.5" header="0" footer="0"/>
  <pageSetup paperSize="9" fitToHeight="0" orientation="portrait"/>
  <drawing r:id="rId836"/>
  <legacyDrawing r:id="rId83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6"/>
  <sheetViews>
    <sheetView topLeftCell="A2" workbookViewId="0">
      <selection activeCell="G333" sqref="G333"/>
    </sheetView>
  </sheetViews>
  <sheetFormatPr baseColWidth="10" defaultRowHeight="14.4" x14ac:dyDescent="0.3"/>
  <cols>
    <col min="1" max="2" width="59.21875" customWidth="1"/>
  </cols>
  <sheetData>
    <row r="1" spans="1:2" ht="15" customHeight="1" thickBot="1" x14ac:dyDescent="0.35">
      <c r="A1" s="45" t="s">
        <v>1248</v>
      </c>
      <c r="B1" s="45" t="s">
        <v>1189</v>
      </c>
    </row>
    <row r="2" spans="1:2" x14ac:dyDescent="0.3">
      <c r="A2" s="48" t="s">
        <v>1249</v>
      </c>
      <c r="B2" s="49" t="s">
        <v>180</v>
      </c>
    </row>
    <row r="3" spans="1:2" x14ac:dyDescent="0.3">
      <c r="A3" s="46" t="s">
        <v>1249</v>
      </c>
      <c r="B3" s="47" t="s">
        <v>265</v>
      </c>
    </row>
    <row r="4" spans="1:2" x14ac:dyDescent="0.3">
      <c r="A4" s="46" t="s">
        <v>1249</v>
      </c>
      <c r="B4" s="47" t="s">
        <v>283</v>
      </c>
    </row>
    <row r="5" spans="1:2" x14ac:dyDescent="0.3">
      <c r="A5" s="46" t="s">
        <v>1249</v>
      </c>
      <c r="B5" s="47" t="s">
        <v>288</v>
      </c>
    </row>
    <row r="6" spans="1:2" x14ac:dyDescent="0.3">
      <c r="A6" s="46" t="s">
        <v>1249</v>
      </c>
      <c r="B6" s="47" t="s">
        <v>548</v>
      </c>
    </row>
    <row r="7" spans="1:2" x14ac:dyDescent="0.3">
      <c r="A7" s="46" t="s">
        <v>1249</v>
      </c>
      <c r="B7" s="47" t="s">
        <v>300</v>
      </c>
    </row>
    <row r="8" spans="1:2" x14ac:dyDescent="0.3">
      <c r="A8" s="46" t="s">
        <v>1249</v>
      </c>
      <c r="B8" s="47" t="s">
        <v>247</v>
      </c>
    </row>
    <row r="9" spans="1:2" x14ac:dyDescent="0.3">
      <c r="A9" s="46" t="s">
        <v>1249</v>
      </c>
      <c r="B9" s="47" t="s">
        <v>959</v>
      </c>
    </row>
    <row r="10" spans="1:2" x14ac:dyDescent="0.3">
      <c r="A10" s="46" t="s">
        <v>1249</v>
      </c>
      <c r="B10" s="47" t="s">
        <v>798</v>
      </c>
    </row>
    <row r="11" spans="1:2" ht="15" customHeight="1" x14ac:dyDescent="0.3">
      <c r="A11" s="46" t="s">
        <v>1249</v>
      </c>
      <c r="B11" s="47" t="s">
        <v>670</v>
      </c>
    </row>
    <row r="12" spans="1:2" x14ac:dyDescent="0.3">
      <c r="A12" s="46" t="s">
        <v>1250</v>
      </c>
      <c r="B12" s="50" t="s">
        <v>1038</v>
      </c>
    </row>
    <row r="13" spans="1:2" x14ac:dyDescent="0.3">
      <c r="A13" s="46" t="s">
        <v>1250</v>
      </c>
      <c r="B13" s="50" t="s">
        <v>1064</v>
      </c>
    </row>
    <row r="14" spans="1:2" ht="15" thickBot="1" x14ac:dyDescent="0.35">
      <c r="A14" s="46" t="s">
        <v>1250</v>
      </c>
      <c r="B14" s="50" t="s">
        <v>1106</v>
      </c>
    </row>
    <row r="15" spans="1:2" ht="15" thickBot="1" x14ac:dyDescent="0.35">
      <c r="A15" s="48" t="s">
        <v>1251</v>
      </c>
      <c r="B15" s="49" t="s">
        <v>190</v>
      </c>
    </row>
    <row r="16" spans="1:2" x14ac:dyDescent="0.3">
      <c r="A16" s="48" t="s">
        <v>1251</v>
      </c>
      <c r="B16" s="49" t="s">
        <v>1174</v>
      </c>
    </row>
    <row r="17" spans="1:2" ht="15" customHeight="1" x14ac:dyDescent="0.3">
      <c r="A17" s="80" t="s">
        <v>1251</v>
      </c>
      <c r="B17" s="81" t="s">
        <v>1141</v>
      </c>
    </row>
    <row r="18" spans="1:2" ht="15" customHeight="1" x14ac:dyDescent="0.3">
      <c r="A18" s="46" t="s">
        <v>1251</v>
      </c>
      <c r="B18" s="47" t="s">
        <v>418</v>
      </c>
    </row>
    <row r="19" spans="1:2" s="52" customFormat="1" ht="15" thickBot="1" x14ac:dyDescent="0.35">
      <c r="A19" s="46" t="s">
        <v>1251</v>
      </c>
      <c r="B19" s="47" t="s">
        <v>1056</v>
      </c>
    </row>
    <row r="20" spans="1:2" s="52" customFormat="1" x14ac:dyDescent="0.3">
      <c r="A20" s="48" t="s">
        <v>1252</v>
      </c>
      <c r="B20" s="51" t="s">
        <v>572</v>
      </c>
    </row>
    <row r="21" spans="1:2" x14ac:dyDescent="0.3">
      <c r="A21" s="46" t="s">
        <v>1252</v>
      </c>
      <c r="B21" s="50" t="s">
        <v>604</v>
      </c>
    </row>
    <row r="22" spans="1:2" ht="15" customHeight="1" x14ac:dyDescent="0.3">
      <c r="A22" s="46" t="s">
        <v>1252</v>
      </c>
      <c r="B22" s="50" t="s">
        <v>1166</v>
      </c>
    </row>
    <row r="23" spans="1:2" x14ac:dyDescent="0.3">
      <c r="A23" s="46" t="s">
        <v>1252</v>
      </c>
      <c r="B23" s="50" t="s">
        <v>628</v>
      </c>
    </row>
    <row r="24" spans="1:2" x14ac:dyDescent="0.3">
      <c r="A24" s="46" t="s">
        <v>1252</v>
      </c>
      <c r="B24" s="50" t="s">
        <v>644</v>
      </c>
    </row>
    <row r="25" spans="1:2" s="52" customFormat="1" x14ac:dyDescent="0.3">
      <c r="A25" s="46" t="s">
        <v>1252</v>
      </c>
      <c r="B25" s="50" t="s">
        <v>752</v>
      </c>
    </row>
    <row r="26" spans="1:2" x14ac:dyDescent="0.3">
      <c r="A26" s="46" t="s">
        <v>1252</v>
      </c>
      <c r="B26" s="50" t="s">
        <v>687</v>
      </c>
    </row>
    <row r="27" spans="1:2" x14ac:dyDescent="0.3">
      <c r="A27" s="46" t="s">
        <v>1252</v>
      </c>
      <c r="B27" s="50" t="s">
        <v>1315</v>
      </c>
    </row>
    <row r="28" spans="1:2" x14ac:dyDescent="0.3">
      <c r="A28" s="46" t="s">
        <v>1252</v>
      </c>
      <c r="B28" s="50" t="s">
        <v>662</v>
      </c>
    </row>
    <row r="29" spans="1:2" x14ac:dyDescent="0.3">
      <c r="A29" s="46" t="s">
        <v>1253</v>
      </c>
      <c r="B29" s="47" t="s">
        <v>946</v>
      </c>
    </row>
    <row r="30" spans="1:2" x14ac:dyDescent="0.3">
      <c r="A30" s="46" t="s">
        <v>1253</v>
      </c>
      <c r="B30" s="47" t="s">
        <v>764</v>
      </c>
    </row>
    <row r="31" spans="1:2" ht="15" customHeight="1" x14ac:dyDescent="0.3">
      <c r="A31" s="46" t="s">
        <v>1253</v>
      </c>
      <c r="B31" s="47" t="s">
        <v>1298</v>
      </c>
    </row>
    <row r="32" spans="1:2" x14ac:dyDescent="0.3">
      <c r="A32" s="46" t="s">
        <v>1253</v>
      </c>
      <c r="B32" s="47" t="s">
        <v>740</v>
      </c>
    </row>
    <row r="33" spans="1:2" x14ac:dyDescent="0.3">
      <c r="A33" s="46" t="s">
        <v>1642</v>
      </c>
      <c r="B33" s="47" t="s">
        <v>351</v>
      </c>
    </row>
    <row r="34" spans="1:2" x14ac:dyDescent="0.3">
      <c r="A34" s="46" t="s">
        <v>1253</v>
      </c>
      <c r="B34" s="47" t="s">
        <v>1111</v>
      </c>
    </row>
    <row r="35" spans="1:2" ht="15" thickBot="1" x14ac:dyDescent="0.35">
      <c r="A35" s="46" t="s">
        <v>1253</v>
      </c>
      <c r="B35" s="47" t="s">
        <v>819</v>
      </c>
    </row>
    <row r="36" spans="1:2" ht="15" thickBot="1" x14ac:dyDescent="0.35">
      <c r="A36" s="48" t="s">
        <v>1254</v>
      </c>
      <c r="B36" s="51" t="s">
        <v>1120</v>
      </c>
    </row>
    <row r="37" spans="1:2" x14ac:dyDescent="0.3">
      <c r="A37" s="48" t="s">
        <v>1255</v>
      </c>
      <c r="B37" s="49" t="s">
        <v>365</v>
      </c>
    </row>
    <row r="38" spans="1:2" x14ac:dyDescent="0.3">
      <c r="A38" s="46" t="s">
        <v>1255</v>
      </c>
      <c r="B38" s="47" t="s">
        <v>806</v>
      </c>
    </row>
    <row r="39" spans="1:2" ht="15" customHeight="1" thickBot="1" x14ac:dyDescent="0.35">
      <c r="A39" s="46" t="s">
        <v>1253</v>
      </c>
      <c r="B39" s="47" t="s">
        <v>1050</v>
      </c>
    </row>
    <row r="40" spans="1:2" ht="15" customHeight="1" x14ac:dyDescent="0.3">
      <c r="A40" s="48" t="s">
        <v>1256</v>
      </c>
      <c r="B40" s="51" t="s">
        <v>387</v>
      </c>
    </row>
    <row r="41" spans="1:2" x14ac:dyDescent="0.3">
      <c r="A41" s="46" t="s">
        <v>1256</v>
      </c>
      <c r="B41" s="50" t="s">
        <v>342</v>
      </c>
    </row>
    <row r="42" spans="1:2" x14ac:dyDescent="0.3">
      <c r="A42" s="46" t="s">
        <v>1256</v>
      </c>
      <c r="B42" s="50" t="s">
        <v>441</v>
      </c>
    </row>
    <row r="43" spans="1:2" ht="15" customHeight="1" thickBot="1" x14ac:dyDescent="0.35">
      <c r="A43" s="46" t="s">
        <v>1256</v>
      </c>
      <c r="B43" s="50" t="s">
        <v>836</v>
      </c>
    </row>
    <row r="44" spans="1:2" x14ac:dyDescent="0.3">
      <c r="A44" s="48" t="s">
        <v>1257</v>
      </c>
      <c r="B44" s="49" t="s">
        <v>1076</v>
      </c>
    </row>
    <row r="45" spans="1:2" x14ac:dyDescent="0.3">
      <c r="A45" s="46" t="s">
        <v>1257</v>
      </c>
      <c r="B45" s="47" t="s">
        <v>1099</v>
      </c>
    </row>
    <row r="46" spans="1:2" x14ac:dyDescent="0.3">
      <c r="A46" s="46" t="s">
        <v>1257</v>
      </c>
      <c r="B46" s="47" t="s">
        <v>1052</v>
      </c>
    </row>
    <row r="47" spans="1:2" ht="15" customHeight="1" x14ac:dyDescent="0.3">
      <c r="A47" s="46" t="s">
        <v>1250</v>
      </c>
      <c r="B47" s="50" t="s">
        <v>1259</v>
      </c>
    </row>
    <row r="48" spans="1:2" x14ac:dyDescent="0.3">
      <c r="A48" s="46" t="s">
        <v>1258</v>
      </c>
      <c r="B48" s="50" t="s">
        <v>1329</v>
      </c>
    </row>
    <row r="49" spans="1:2" x14ac:dyDescent="0.3">
      <c r="A49" s="46" t="s">
        <v>1258</v>
      </c>
      <c r="B49" s="50" t="s">
        <v>1331</v>
      </c>
    </row>
    <row r="50" spans="1:2" ht="15" customHeight="1" x14ac:dyDescent="0.3">
      <c r="A50" s="46" t="s">
        <v>1258</v>
      </c>
      <c r="B50" s="50" t="s">
        <v>1333</v>
      </c>
    </row>
    <row r="51" spans="1:2" x14ac:dyDescent="0.3">
      <c r="A51" s="46" t="s">
        <v>1253</v>
      </c>
      <c r="B51" s="50" t="s">
        <v>1335</v>
      </c>
    </row>
    <row r="52" spans="1:2" x14ac:dyDescent="0.3">
      <c r="A52" s="46" t="s">
        <v>1253</v>
      </c>
      <c r="B52" s="50" t="s">
        <v>1337</v>
      </c>
    </row>
    <row r="53" spans="1:2" x14ac:dyDescent="0.3">
      <c r="A53" s="46" t="s">
        <v>1253</v>
      </c>
      <c r="B53" s="50" t="s">
        <v>1339</v>
      </c>
    </row>
    <row r="54" spans="1:2" x14ac:dyDescent="0.3">
      <c r="A54" s="46" t="s">
        <v>1253</v>
      </c>
      <c r="B54" s="50" t="s">
        <v>1341</v>
      </c>
    </row>
    <row r="55" spans="1:2" x14ac:dyDescent="0.3">
      <c r="A55" s="46" t="s">
        <v>1250</v>
      </c>
      <c r="B55" s="50" t="s">
        <v>1343</v>
      </c>
    </row>
    <row r="56" spans="1:2" x14ac:dyDescent="0.3">
      <c r="A56" s="46" t="s">
        <v>1250</v>
      </c>
      <c r="B56" s="50" t="s">
        <v>1345</v>
      </c>
    </row>
    <row r="57" spans="1:2" x14ac:dyDescent="0.3">
      <c r="A57" s="46" t="s">
        <v>1250</v>
      </c>
      <c r="B57" s="50" t="s">
        <v>1347</v>
      </c>
    </row>
    <row r="58" spans="1:2" x14ac:dyDescent="0.3">
      <c r="A58" s="46" t="s">
        <v>1250</v>
      </c>
      <c r="B58" s="50" t="s">
        <v>1349</v>
      </c>
    </row>
    <row r="59" spans="1:2" x14ac:dyDescent="0.3">
      <c r="A59" s="46" t="s">
        <v>1250</v>
      </c>
      <c r="B59" s="50" t="s">
        <v>1351</v>
      </c>
    </row>
    <row r="60" spans="1:2" x14ac:dyDescent="0.3">
      <c r="A60" s="46" t="s">
        <v>1250</v>
      </c>
      <c r="B60" s="50" t="s">
        <v>1353</v>
      </c>
    </row>
    <row r="61" spans="1:2" x14ac:dyDescent="0.3">
      <c r="A61" s="46" t="s">
        <v>1250</v>
      </c>
      <c r="B61" s="50" t="s">
        <v>1355</v>
      </c>
    </row>
    <row r="62" spans="1:2" x14ac:dyDescent="0.3">
      <c r="A62" s="46" t="s">
        <v>1250</v>
      </c>
      <c r="B62" s="50" t="s">
        <v>1357</v>
      </c>
    </row>
    <row r="63" spans="1:2" x14ac:dyDescent="0.3">
      <c r="A63" s="46" t="s">
        <v>1250</v>
      </c>
      <c r="B63" s="50" t="s">
        <v>1359</v>
      </c>
    </row>
    <row r="64" spans="1:2" x14ac:dyDescent="0.3">
      <c r="A64" s="46" t="s">
        <v>1250</v>
      </c>
      <c r="B64" s="50" t="s">
        <v>1361</v>
      </c>
    </row>
    <row r="65" spans="1:2" x14ac:dyDescent="0.3">
      <c r="A65" s="46" t="s">
        <v>1250</v>
      </c>
      <c r="B65" s="50" t="s">
        <v>1363</v>
      </c>
    </row>
    <row r="66" spans="1:2" x14ac:dyDescent="0.3">
      <c r="A66" s="46" t="s">
        <v>1642</v>
      </c>
      <c r="B66" s="50" t="s">
        <v>1643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Sommaire</vt:lpstr>
      <vt:lpstr>Mode d'emploi</vt:lpstr>
      <vt:lpstr>Présentations métiers</vt:lpstr>
      <vt:lpstr>Regroupements</vt:lpstr>
      <vt:lpstr>'Présentations métiers'!DébutSemaine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Bollori</cp:lastModifiedBy>
  <dcterms:created xsi:type="dcterms:W3CDTF">2026-04-14T07:01:01Z</dcterms:created>
  <dcterms:modified xsi:type="dcterms:W3CDTF">2026-09-22T02:47:16Z</dcterms:modified>
</cp:coreProperties>
</file>